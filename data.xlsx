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ester 6\Visualisasi Data dan Informasi\UAS\Web Visualisasi\"/>
    </mc:Choice>
  </mc:AlternateContent>
  <xr:revisionPtr revIDLastSave="0" documentId="13_ncr:1_{89821D13-1D3F-4D29-B8F1-936577AD0452}" xr6:coauthVersionLast="47" xr6:coauthVersionMax="47" xr10:uidLastSave="{00000000-0000-0000-0000-000000000000}"/>
  <bookViews>
    <workbookView xWindow="-110" yWindow="-110" windowWidth="19420" windowHeight="10300" activeTab="1" xr2:uid="{CE711944-053D-49F4-A508-1D1CFE50B788}"/>
  </bookViews>
  <sheets>
    <sheet name="Hirarki 1" sheetId="1" r:id="rId1"/>
    <sheet name="Hirarki 2" sheetId="4" r:id="rId2"/>
    <sheet name="Geografis" sheetId="5" r:id="rId3"/>
    <sheet name="Multivariate" sheetId="6" r:id="rId4"/>
    <sheet name="Flow 1" sheetId="7" r:id="rId5"/>
    <sheet name="Flow 2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1" l="1"/>
  <c r="C21" i="1"/>
  <c r="B20" i="1"/>
  <c r="C20" i="1"/>
  <c r="B18" i="1"/>
  <c r="C18" i="1"/>
  <c r="B17" i="1"/>
  <c r="C17" i="1"/>
</calcChain>
</file>

<file path=xl/sharedStrings.xml><?xml version="1.0" encoding="utf-8"?>
<sst xmlns="http://schemas.openxmlformats.org/spreadsheetml/2006/main" count="2413" uniqueCount="739">
  <si>
    <t>Penduduk 15 tahun ke atas</t>
  </si>
  <si>
    <t>Angkatan Kerja</t>
  </si>
  <si>
    <t>Bekerja</t>
  </si>
  <si>
    <t>Pengangguran</t>
  </si>
  <si>
    <t>Bukan Angkatan kerja</t>
  </si>
  <si>
    <t>Februari 2026</t>
  </si>
  <si>
    <t>Agustus 2025</t>
  </si>
  <si>
    <t>Sekolah</t>
  </si>
  <si>
    <t>Mengurus Rumah Tangga</t>
  </si>
  <si>
    <t>Lainnya</t>
  </si>
  <si>
    <t>1. Berusaha Sendiri</t>
  </si>
  <si>
    <t>2. Berusaha Dibantu Buruh Tidak Tetap/Pekerja Keluarga/Tidak dibayar</t>
  </si>
  <si>
    <t>3. Berusaha Dibantu Buruh Tetap dan Dibayar</t>
  </si>
  <si>
    <t>4. Buruh / Karyawan / Pegawai</t>
  </si>
  <si>
    <t>5. Pekerja Bebas di Pertanian</t>
  </si>
  <si>
    <t>6. Pekerja Bebas di Non Pertanian</t>
  </si>
  <si>
    <t>7. Pekerja Keluarga Tak Dibayar</t>
  </si>
  <si>
    <t>Informal</t>
  </si>
  <si>
    <t>Formal</t>
  </si>
  <si>
    <t>Pengangguran Fresh Graduate</t>
  </si>
  <si>
    <t>Bukan Fresh Graduate</t>
  </si>
  <si>
    <t>Kelompok Umur</t>
  </si>
  <si>
    <t>Jenis Kelamin</t>
  </si>
  <si>
    <t>Kegiatan</t>
  </si>
  <si>
    <t>15–24</t>
  </si>
  <si>
    <t>25–34</t>
  </si>
  <si>
    <t>35–44</t>
  </si>
  <si>
    <t>45–54</t>
  </si>
  <si>
    <t>55–64</t>
  </si>
  <si>
    <t>65+</t>
  </si>
  <si>
    <t>Laki-laki</t>
  </si>
  <si>
    <t>Perempuan</t>
  </si>
  <si>
    <t>Jumlah penduduk</t>
  </si>
  <si>
    <t>Pendidikan Terakhir</t>
  </si>
  <si>
    <t>Sekolah Dasar ke Bawah</t>
  </si>
  <si>
    <t>Sekolah Menegah Pertama</t>
  </si>
  <si>
    <t>Sekolah Menegah Atas</t>
  </si>
  <si>
    <t>Sekolah Menegah Kejuruan</t>
  </si>
  <si>
    <t>Diploma I/II/III</t>
  </si>
  <si>
    <t>Diploma IV,S1,S2,S3</t>
  </si>
  <si>
    <t>NA</t>
  </si>
  <si>
    <t>ACEH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</si>
  <si>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</si>
  <si>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</si>
  <si>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</si>
  <si>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</si>
  <si>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</si>
  <si>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</si>
  <si>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</si>
  <si>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</si>
  <si>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</si>
  <si>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</si>
  <si>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</si>
  <si>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</si>
  <si>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</si>
  <si>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</si>
  <si>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</si>
  <si>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</si>
  <si>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</si>
  <si>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</si>
  <si>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</si>
  <si>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</si>
  <si>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</si>
  <si>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</si>
  <si>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</si>
  <si>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SUMATERA UTARA</t>
  </si>
  <si>
    <t>Nias</t>
  </si>
  <si>
    <t>Mandailing Natal</t>
  </si>
  <si>
    <t>Tapanuli Selatan</t>
  </si>
  <si>
    <t>Tapanuli Tengah</t>
  </si>
  <si>
    <t>Tapanuli Utara</t>
  </si>
  <si>
    <t>Toba Samosir / Toba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</si>
  <si>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</si>
  <si>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</si>
  <si>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</si>
  <si>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</si>
  <si>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</si>
  <si>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</si>
  <si>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</si>
  <si>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</si>
  <si>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</si>
  <si>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</si>
  <si>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</si>
  <si>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</si>
  <si>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</si>
  <si>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</si>
  <si>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</si>
  <si>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</si>
  <si>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</si>
  <si>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</si>
  <si>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</si>
  <si>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</si>
  <si>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</si>
  <si>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</si>
  <si>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</si>
  <si>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</si>
  <si>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</si>
  <si>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</si>
  <si>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</si>
  <si>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SUMATERA BARAT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</si>
  <si>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</si>
  <si>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</si>
  <si>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</si>
  <si>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</si>
  <si>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</si>
  <si>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</si>
  <si>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</si>
  <si>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</si>
  <si>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</si>
  <si>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</si>
  <si>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</si>
  <si>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</si>
  <si>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</si>
  <si>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</si>
  <si>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</si>
  <si>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</si>
  <si>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</si>
  <si>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</si>
  <si>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</si>
  <si>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RIAU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</si>
  <si>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</si>
  <si>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</si>
  <si>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</si>
  <si>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</si>
  <si>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</si>
  <si>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</si>
  <si>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</si>
  <si>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</si>
  <si>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</si>
  <si>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</si>
  <si>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</si>
  <si>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</si>
  <si>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JAMBI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</si>
  <si>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</si>
  <si>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</si>
  <si>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</si>
  <si>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</si>
  <si>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</si>
  <si>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</si>
  <si>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</si>
  <si>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</si>
  <si>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</si>
  <si>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</si>
  <si>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</si>
  <si>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SUMATERA SELATAN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</si>
  <si>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</si>
  <si>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</si>
  <si>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</si>
  <si>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</si>
  <si>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</si>
  <si>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</si>
  <si>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</si>
  <si>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</si>
  <si>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</si>
  <si>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</si>
  <si>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</si>
  <si>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</si>
  <si>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</si>
  <si>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</si>
  <si>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</si>
  <si>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</si>
  <si>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</si>
  <si>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</si>
  <si>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</si>
  <si>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</si>
  <si>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</si>
  <si>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</si>
  <si>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</si>
  <si>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</si>
  <si>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</si>
  <si>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</si>
  <si>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</si>
  <si>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</si>
  <si>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</si>
  <si>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</si>
  <si>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</si>
  <si>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</si>
  <si>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</si>
  <si>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</si>
  <si>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</si>
  <si>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</si>
  <si>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</si>
  <si>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</si>
  <si>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</si>
  <si>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</si>
  <si>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</si>
  <si>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</si>
  <si>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</si>
  <si>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</si>
  <si>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KEP. BANGKA BELITUNG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</si>
  <si>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</si>
  <si>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</si>
  <si>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</si>
  <si>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</si>
  <si>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</si>
  <si>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</si>
  <si>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</si>
  <si>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KEPULAUAN RIAU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</si>
  <si>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</si>
  <si>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</si>
  <si>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</si>
  <si>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</si>
  <si>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</si>
  <si>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</si>
  <si>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</si>
  <si>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DKI JAKARTA</t>
  </si>
  <si>
    <t>Kep. Seribu</t>
  </si>
  <si>
    <t>Kota Jakarta Selatan</t>
  </si>
  <si>
    <t>Kota Jakarta Timur</t>
  </si>
  <si>
    <t>Kota Jakarta Pusat</t>
  </si>
  <si>
    <t>Kota Jakarta Barat</t>
  </si>
  <si>
    <t>Kota Jakarta Utara</t>
  </si>
  <si>
    <t>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</si>
  <si>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</si>
  <si>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</si>
  <si>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</si>
  <si>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</si>
  <si>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</si>
  <si>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</si>
  <si>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</si>
  <si>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</si>
  <si>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</si>
  <si>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</si>
  <si>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</si>
  <si>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</si>
  <si>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</si>
  <si>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</si>
  <si>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</si>
  <si>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</si>
  <si>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</si>
  <si>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</si>
  <si>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</si>
  <si>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</si>
  <si>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</si>
  <si>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</si>
  <si>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</si>
  <si>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</si>
  <si>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</si>
  <si>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</si>
  <si>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</si>
  <si>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</si>
  <si>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</si>
  <si>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</si>
  <si>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</si>
  <si>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</si>
  <si>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</si>
  <si>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</si>
  <si>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</si>
  <si>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</si>
  <si>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</si>
  <si>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</si>
  <si>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</si>
  <si>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</si>
  <si>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</si>
  <si>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</si>
  <si>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</si>
  <si>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</si>
  <si>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</si>
  <si>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</si>
  <si>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</si>
  <si>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</si>
  <si>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</si>
  <si>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</si>
  <si>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</si>
  <si>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</si>
  <si>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</si>
  <si>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</si>
  <si>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</si>
  <si>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</si>
  <si>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</si>
  <si>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</si>
  <si>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</si>
  <si>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</si>
  <si>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</si>
  <si>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</si>
  <si>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</si>
  <si>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D I YOGYAKARTA</t>
  </si>
  <si>
    <t>Kulon Progo</t>
  </si>
  <si>
    <t>Bantul</t>
  </si>
  <si>
    <t>Gunung Kidul</t>
  </si>
  <si>
    <t>Sleman</t>
  </si>
  <si>
    <t>Kota Yogyakarta</t>
  </si>
  <si>
    <t>JAWA TIMUR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</si>
  <si>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</si>
  <si>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</si>
  <si>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</si>
  <si>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</si>
  <si>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</si>
  <si>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</si>
  <si>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</si>
  <si>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</si>
  <si>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</si>
  <si>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</si>
  <si>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</si>
  <si>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</si>
  <si>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</si>
  <si>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</si>
  <si>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</si>
  <si>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</si>
  <si>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</si>
  <si>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</si>
  <si>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</si>
  <si>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</si>
  <si>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</si>
  <si>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</si>
  <si>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</si>
  <si>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</si>
  <si>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</si>
  <si>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</si>
  <si>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</si>
  <si>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</si>
  <si>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</si>
  <si>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</si>
  <si>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</si>
  <si>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</si>
  <si>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</si>
  <si>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</si>
  <si>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</si>
  <si>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</si>
  <si>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</si>
  <si>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</si>
  <si>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</si>
  <si>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</si>
  <si>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</si>
  <si>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</si>
  <si>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</si>
  <si>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</si>
  <si>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</si>
  <si>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</si>
  <si>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</si>
  <si>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BALI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</si>
  <si>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</si>
  <si>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</si>
  <si>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</si>
  <si>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</si>
  <si>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</si>
  <si>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</si>
  <si>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</si>
  <si>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</si>
  <si>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</si>
  <si>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NUSA TENGGARA BARAT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</si>
  <si>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</si>
  <si>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</si>
  <si>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</si>
  <si>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</si>
  <si>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</si>
  <si>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</si>
  <si>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</si>
  <si>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</si>
  <si>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</si>
  <si>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</si>
  <si>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NUSA TENGGARA TIMUR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</si>
  <si>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</si>
  <si>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</si>
  <si>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</si>
  <si>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</si>
  <si>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</si>
  <si>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</si>
  <si>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</si>
  <si>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</si>
  <si>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</si>
  <si>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</si>
  <si>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</si>
  <si>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</si>
  <si>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</si>
  <si>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</si>
  <si>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</si>
  <si>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</si>
  <si>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</si>
  <si>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</si>
  <si>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</si>
  <si>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</si>
  <si>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</si>
  <si>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</si>
  <si>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KALIMANTAN BARAT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</si>
  <si>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</si>
  <si>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</si>
  <si>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</si>
  <si>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</si>
  <si>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</si>
  <si>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</si>
  <si>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</si>
  <si>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</si>
  <si>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</si>
  <si>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</si>
  <si>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</si>
  <si>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</si>
  <si>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</si>
  <si>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</si>
  <si>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KALIMANTAN TENGAH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</si>
  <si>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</si>
  <si>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</si>
  <si>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</si>
  <si>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</si>
  <si>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</si>
  <si>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</si>
  <si>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</si>
  <si>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</si>
  <si>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</si>
  <si>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</si>
  <si>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</si>
  <si>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</si>
  <si>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</si>
  <si>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</si>
  <si>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KALIMANTAN SELATAN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</si>
  <si>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</si>
  <si>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</si>
  <si>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</si>
  <si>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</si>
  <si>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</si>
  <si>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</si>
  <si>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</si>
  <si>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</si>
  <si>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</si>
  <si>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</si>
  <si>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</si>
  <si>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</si>
  <si>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</si>
  <si>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KALIMANTAN TIMUR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</si>
  <si>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</si>
  <si>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</si>
  <si>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</si>
  <si>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</si>
  <si>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</si>
  <si>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</si>
  <si>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</si>
  <si>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</si>
  <si>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</si>
  <si>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</si>
  <si>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KALIMANTAN UTARA</t>
  </si>
  <si>
    <t>Malinau</t>
  </si>
  <si>
    <t>Bulungan</t>
  </si>
  <si>
    <t>Tana Tidung</t>
  </si>
  <si>
    <t>Nunukan</t>
  </si>
  <si>
    <t>Kota Tarakan</t>
  </si>
  <si>
    <t>SULAWESI UTARA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</si>
  <si>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</si>
  <si>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</si>
  <si>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</si>
  <si>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</si>
  <si>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</si>
  <si>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</si>
  <si>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</si>
  <si>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</si>
  <si>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</si>
  <si>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</si>
  <si>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</si>
  <si>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</si>
  <si>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</si>
  <si>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</si>
  <si>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</si>
  <si>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SULAWESI TENGAH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</si>
  <si>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</si>
  <si>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</si>
  <si>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</si>
  <si>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</si>
  <si>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</si>
  <si>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</si>
  <si>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</si>
  <si>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</si>
  <si>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</si>
  <si>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</si>
  <si>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</si>
  <si>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</si>
  <si>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</si>
  <si>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SULAWESI SELATAN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</si>
  <si>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</si>
  <si>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</si>
  <si>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</si>
  <si>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</si>
  <si>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</si>
  <si>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</si>
  <si>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</si>
  <si>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</si>
  <si>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</si>
  <si>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</si>
  <si>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</si>
  <si>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</si>
  <si>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</si>
  <si>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</si>
  <si>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</si>
  <si>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</si>
  <si>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</si>
  <si>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</si>
  <si>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</si>
  <si>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</si>
  <si>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</si>
  <si>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Makasar</t>
  </si>
  <si>
    <t>Kota Parepare</t>
  </si>
  <si>
    <t>Kota Palopo</t>
  </si>
  <si>
    <t>SULAWESI TENGGARA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</si>
  <si>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</si>
  <si>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</si>
  <si>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</si>
  <si>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</si>
  <si>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</si>
  <si>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</si>
  <si>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</si>
  <si>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</si>
  <si>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</si>
  <si>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</si>
  <si>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</si>
  <si>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</si>
  <si>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</si>
  <si>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</si>
  <si>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</si>
  <si>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</si>
  <si>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</si>
  <si>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GORONTALO</t>
  </si>
  <si>
    <t>Boalemo</t>
  </si>
  <si>
    <t>Gorontalo</t>
  </si>
  <si>
    <t>Pohuwato</t>
  </si>
  <si>
    <t>Bone Bolango</t>
  </si>
  <si>
    <t>Gorontalo Utara</t>
  </si>
  <si>
    <t>Kota Gorontalo</t>
  </si>
  <si>
    <t>SULAWESI BARAT</t>
  </si>
  <si>
    <t>Majene</t>
  </si>
  <si>
    <t>Polewali Mandar</t>
  </si>
  <si>
    <t>Mamasa</t>
  </si>
  <si>
    <t>Mamuju</t>
  </si>
  <si>
    <t>Mamuju Utara / Pasangkayu</t>
  </si>
  <si>
    <t>Mamuju Tengah</t>
  </si>
  <si>
    <t>MALUKU</t>
  </si>
  <si>
    <t>Maluku Tenggara Barat / Kepulauan Tanimbar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</si>
  <si>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</si>
  <si>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</si>
  <si>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</si>
  <si>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</si>
  <si>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</si>
  <si>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</si>
  <si>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</si>
  <si>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</si>
  <si>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</si>
  <si>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</si>
  <si>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MALUKU UTARA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</si>
  <si>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</si>
  <si>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</si>
  <si>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</si>
  <si>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</si>
  <si>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</si>
  <si>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</si>
  <si>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</si>
  <si>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</si>
  <si>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</si>
  <si>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</si>
  <si>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PAPUA BARAT</t>
  </si>
  <si>
    <t>Fakfak</t>
  </si>
  <si>
    <t>Kaimana</t>
  </si>
  <si>
    <t>Teluk Wondama</t>
  </si>
  <si>
    <t>Teluk Bintuni</t>
  </si>
  <si>
    <t>Manokwari</t>
  </si>
  <si>
    <t>Sorong Selatan</t>
  </si>
  <si>
    <t>Sorong</t>
  </si>
  <si>
    <t>Raja Ampat</t>
  </si>
  <si>
    <t>Tambrauw</t>
  </si>
  <si>
    <t>Maybrat</t>
  </si>
  <si>
    <t>Manokwari Selatan</t>
  </si>
  <si>
    <t>Pegunungan Arfak</t>
  </si>
  <si>
    <t>Kota Sorong</t>
  </si>
  <si>
    <t>PAPUA BARAT DAYA</t>
  </si>
  <si>
    <t>PAPUA</t>
  </si>
  <si>
    <t>Merauke</t>
  </si>
  <si>
    <t>Jayawijaya</t>
  </si>
  <si>
    <t>Jayapura</t>
  </si>
  <si>
    <t>Nabire</t>
  </si>
  <si>
    <t>Kepulauan Yapen</t>
  </si>
  <si>
    <t>Biak Numfor</t>
  </si>
  <si>
    <t>Paniai</t>
  </si>
  <si>
    <t>Puncak Jaya</t>
  </si>
  <si>
    <t>Mimika</t>
  </si>
  <si>
    <t>Boven Digoel</t>
  </si>
  <si>
    <t>Mappi</t>
  </si>
  <si>
    <t>Asmat</t>
  </si>
  <si>
    <t>Yahukimo</t>
  </si>
  <si>
    <t>Pegunungan Bintang</t>
  </si>
  <si>
    <t>Tolikara</t>
  </si>
  <si>
    <t>Sarmi</t>
  </si>
  <si>
    <t>Keerom</t>
  </si>
  <si>
    <t>Waropen</t>
  </si>
  <si>
    <t>Supiori</t>
  </si>
  <si>
    <t>Mamberamo Raya</t>
  </si>
  <si>
    <t>Nduga</t>
  </si>
  <si>
    <t>Lanny Jaya</t>
  </si>
  <si>
    <t>Mamberamo Tengah</t>
  </si>
  <si>
    <t>Yalimo</t>
  </si>
  <si>
    <t>Puncak</t>
  </si>
  <si>
    <t>Dogiyai</t>
  </si>
  <si>
    <t>Intan Jaya</t>
  </si>
  <si>
    <t>Deiyai</t>
  </si>
  <si>
    <t>Kota Jayapura</t>
  </si>
  <si>
    <t>PAPUA SELATAN</t>
  </si>
  <si>
    <t>PAPUA TENGAH</t>
  </si>
  <si>
    <t>PAPUA PEGUNUNGAN</t>
  </si>
  <si>
    <t>INDONESIA</t>
  </si>
  <si>
    <t>Prov Kab/Kota</t>
  </si>
  <si>
    <t>TPT 2025</t>
  </si>
  <si>
    <t>47</t>
  </si>
  <si>
    <t>82</t>
  </si>
  <si>
    <t>86</t>
  </si>
  <si>
    <t>69</t>
  </si>
  <si>
    <t>61</t>
  </si>
  <si>
    <t>83</t>
  </si>
  <si>
    <t>74</t>
  </si>
  <si>
    <t>79</t>
  </si>
  <si>
    <t>46</t>
  </si>
  <si>
    <t>84</t>
  </si>
  <si>
    <t>TPAK 2025 L</t>
  </si>
  <si>
    <t>TPAK 2025 P</t>
  </si>
  <si>
    <t>Pernah Bekerja</t>
  </si>
  <si>
    <t>Tidak Pernah Bekerja</t>
  </si>
  <si>
    <t>KEP. RIAU</t>
  </si>
  <si>
    <t>DI YOGYAKARTA</t>
  </si>
  <si>
    <t>Provinsi</t>
  </si>
  <si>
    <t>TPT</t>
  </si>
  <si>
    <t>TPAK</t>
  </si>
  <si>
    <t>PDRB per Kapita</t>
  </si>
  <si>
    <t>IPM</t>
  </si>
  <si>
    <t>Gini Ratio</t>
  </si>
  <si>
    <t>100</t>
  </si>
  <si>
    <t>221</t>
  </si>
  <si>
    <t>142</t>
  </si>
  <si>
    <t>77</t>
  </si>
  <si>
    <t>78</t>
  </si>
  <si>
    <t>104</t>
  </si>
  <si>
    <t>108</t>
  </si>
  <si>
    <t>287</t>
  </si>
  <si>
    <t>94</t>
  </si>
  <si>
    <t>275</t>
  </si>
  <si>
    <t>16129</t>
  </si>
  <si>
    <t>1381</t>
  </si>
  <si>
    <t>1123</t>
  </si>
  <si>
    <t>1199</t>
  </si>
  <si>
    <t>881</t>
  </si>
  <si>
    <t>1351</t>
  </si>
  <si>
    <t>804</t>
  </si>
  <si>
    <t>296</t>
  </si>
  <si>
    <t>126</t>
  </si>
  <si>
    <t>40</t>
  </si>
  <si>
    <t>19</t>
  </si>
  <si>
    <t>118</t>
  </si>
  <si>
    <t>35</t>
  </si>
  <si>
    <t>11</t>
  </si>
  <si>
    <t>189</t>
  </si>
  <si>
    <t>52</t>
  </si>
  <si>
    <t>213</t>
  </si>
  <si>
    <t>80</t>
  </si>
  <si>
    <t>93</t>
  </si>
  <si>
    <t>43</t>
  </si>
  <si>
    <t>44</t>
  </si>
  <si>
    <t>10</t>
  </si>
  <si>
    <t>17</t>
  </si>
  <si>
    <t>13</t>
  </si>
  <si>
    <t>5</t>
  </si>
  <si>
    <t>25</t>
  </si>
  <si>
    <t>29</t>
  </si>
  <si>
    <t>Persentase Penduduk Miskin</t>
  </si>
  <si>
    <t>RLS</t>
  </si>
  <si>
    <t>AHH</t>
  </si>
  <si>
    <t>Kepadatan Penduduk</t>
  </si>
  <si>
    <t>Melek Huruf</t>
  </si>
  <si>
    <t>Laju pertumbuhan</t>
  </si>
  <si>
    <t>Aceh</t>
  </si>
  <si>
    <t>Adm. Kep. Seribu</t>
  </si>
  <si>
    <t>DKI Jakarta</t>
  </si>
  <si>
    <t>Sumatera Barat</t>
  </si>
  <si>
    <t>Nusa Tenggara Timur</t>
  </si>
  <si>
    <t>Sumatera Utara</t>
  </si>
  <si>
    <t>Papua Selatan</t>
  </si>
  <si>
    <t>Bali</t>
  </si>
  <si>
    <t>Kalimantan Selatan</t>
  </si>
  <si>
    <t>Jawa Barat</t>
  </si>
  <si>
    <t>Sulawesi Tengah</t>
  </si>
  <si>
    <t>Kepulauan Bangka Belitung</t>
  </si>
  <si>
    <t>Jawa Timur</t>
  </si>
  <si>
    <t>Jawa Tengah</t>
  </si>
  <si>
    <t>Sulawesi Selatan</t>
  </si>
  <si>
    <t>Daerah Istimewa Yogyakarta</t>
  </si>
  <si>
    <t>Banyuasin</t>
  </si>
  <si>
    <t>Sumatera Selatan</t>
  </si>
  <si>
    <t>Kalimantan Tengah</t>
  </si>
  <si>
    <t>Batanghari</t>
  </si>
  <si>
    <t>Jambi</t>
  </si>
  <si>
    <t>Riau</t>
  </si>
  <si>
    <t>Kalimantan Barat</t>
  </si>
  <si>
    <t>Bengkulu</t>
  </si>
  <si>
    <t>Kalimantan Timur</t>
  </si>
  <si>
    <t>Papua</t>
  </si>
  <si>
    <t>Nusa Tenggara Barat</t>
  </si>
  <si>
    <t>Kepulauan Riau</t>
  </si>
  <si>
    <t>Sulawesi Utara</t>
  </si>
  <si>
    <t>Sulawesi Tenggara</t>
  </si>
  <si>
    <t>Kalimantan Utara</t>
  </si>
  <si>
    <t>Maluku</t>
  </si>
  <si>
    <t>Papua Tengah</t>
  </si>
  <si>
    <t>Fak Fak</t>
  </si>
  <si>
    <t>Papua Barat</t>
  </si>
  <si>
    <t>Gunungkidul</t>
  </si>
  <si>
    <t>Maluku Utara</t>
  </si>
  <si>
    <t>Papua Pegunungan</t>
  </si>
  <si>
    <t>Kep. Siau Tagulandang Biaro</t>
  </si>
  <si>
    <t>Kepulauan Tanimbar</t>
  </si>
  <si>
    <t>Kota Adm. Jakarta Barat</t>
  </si>
  <si>
    <t>Kota Adm. Jakarta Pusat</t>
  </si>
  <si>
    <t>Kota Adm. Jakarta Selatan</t>
  </si>
  <si>
    <t>Kota Adm. Jakarta Timur</t>
  </si>
  <si>
    <t>Kota Adm. Jakarta Utara</t>
  </si>
  <si>
    <t>Lampung</t>
  </si>
  <si>
    <t>Kota Banjarbaru</t>
  </si>
  <si>
    <t>Kota Bau Bau</t>
  </si>
  <si>
    <t>Banten</t>
  </si>
  <si>
    <t>Kota Lubuk Linggau</t>
  </si>
  <si>
    <t>Kota Makassar</t>
  </si>
  <si>
    <t>Kota Padang Sidempuan</t>
  </si>
  <si>
    <t>Kota Palangkaraya</t>
  </si>
  <si>
    <t>Kota Pematangsiantar</t>
  </si>
  <si>
    <t>Kota Sawahlunto</t>
  </si>
  <si>
    <t>Papua Barat Daya</t>
  </si>
  <si>
    <t>Labuhanbatu</t>
  </si>
  <si>
    <t>Labuhanbatu Selatan</t>
  </si>
  <si>
    <t>Labuhanbatu Utara</t>
  </si>
  <si>
    <t>Sulawesi Barat</t>
  </si>
  <si>
    <t>Muko Muko</t>
  </si>
  <si>
    <t>Pasangkayu</t>
  </si>
  <si>
    <t>Toba</t>
  </si>
  <si>
    <t>Tojo Una Una</t>
  </si>
  <si>
    <t>Toli Toli</t>
  </si>
  <si>
    <t>Tulang Bawang</t>
  </si>
  <si>
    <t>Nama_peta_kab</t>
  </si>
  <si>
    <t>Nama_peta_prov</t>
  </si>
  <si>
    <t>Pulau</t>
  </si>
  <si>
    <t>SUMATERA</t>
  </si>
  <si>
    <t>JAWA</t>
  </si>
  <si>
    <t>KALIMANTAN</t>
  </si>
  <si>
    <t>SULAWESI</t>
  </si>
  <si>
    <t>BALI-NUSA TENGGARA</t>
  </si>
  <si>
    <t>MALUKU-PAPUA</t>
  </si>
  <si>
    <t>Nama Provinsi</t>
  </si>
  <si>
    <t>KEPULAUAN BANGKA BELITUNG</t>
  </si>
  <si>
    <t>Sektor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</si>
</sst>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0" fontId="2" fillId="0" borderId="0" xfId="1"/>
    <xf numFmtId="3" fontId="2" fillId="0" borderId="0" xfId="1" applyNumberFormat="1"/>
    <xf numFmtId="2" fontId="2" fillId="0" borderId="0" xfId="1" applyNumberForma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167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right"/>
    </xf>
  </cellXfs>
  <cellStyles count="2">
    <cellStyle name="Normal" xfId="0" builtinId="0"/>
    <cellStyle name="Normal 2" xfId="1" xr:uid="{388D61AB-9D06-44EB-A1D4-2E764F5F454B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4A3B8"/>
      <color rgb="FF2596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BFA48-AD2C-41E1-AF8C-4BD1A22D1B2F}">
  <dimension ref="A1:E25"/>
  <sheetViews>
    <sheetView topLeftCell="A4" workbookViewId="0">
      <selection activeCell="H14" sqref="H14"/>
    </sheetView>
  </sheetViews>
  <sheetFormatPr defaultRowHeight="14.5" x14ac:dyDescent="0.35"/>
  <cols>
    <col min="1" max="1" width="31.54296875" customWidth="1"/>
    <col min="2" max="2" width="14.6328125" customWidth="1"/>
    <col min="3" max="3" width="17.6328125" customWidth="1"/>
    <col min="4" max="4" width="9.90625" bestFit="1" customWidth="1"/>
    <col min="5" max="5" width="8.90625" bestFit="1" customWidth="1"/>
  </cols>
  <sheetData>
    <row r="1" spans="1:5" x14ac:dyDescent="0.35">
      <c r="B1" t="s">
        <v>6</v>
      </c>
      <c r="C1" t="s">
        <v>5</v>
      </c>
    </row>
    <row r="2" spans="1:5" x14ac:dyDescent="0.35">
      <c r="A2" t="s">
        <v>0</v>
      </c>
      <c r="B2" s="10">
        <v>218167814</v>
      </c>
      <c r="C2" s="10">
        <v>219538628</v>
      </c>
    </row>
    <row r="3" spans="1:5" x14ac:dyDescent="0.35">
      <c r="A3" t="s">
        <v>1</v>
      </c>
      <c r="B3" s="10">
        <v>154003771</v>
      </c>
      <c r="C3" s="10">
        <v>154911235</v>
      </c>
      <c r="E3" s="9"/>
    </row>
    <row r="4" spans="1:5" x14ac:dyDescent="0.35">
      <c r="A4" t="s">
        <v>2</v>
      </c>
      <c r="B4" s="10">
        <v>146542264</v>
      </c>
      <c r="C4" s="10">
        <v>147667630</v>
      </c>
    </row>
    <row r="5" spans="1:5" x14ac:dyDescent="0.35">
      <c r="A5" t="s">
        <v>3</v>
      </c>
      <c r="B5" s="10">
        <v>7461507</v>
      </c>
      <c r="C5" s="10">
        <v>7243605</v>
      </c>
    </row>
    <row r="6" spans="1:5" x14ac:dyDescent="0.35">
      <c r="A6" t="s">
        <v>4</v>
      </c>
      <c r="B6" s="10">
        <v>64164043</v>
      </c>
      <c r="C6" s="10">
        <v>64627393</v>
      </c>
    </row>
    <row r="7" spans="1:5" x14ac:dyDescent="0.35">
      <c r="A7" t="s">
        <v>7</v>
      </c>
      <c r="B7" s="10">
        <v>15462953</v>
      </c>
      <c r="C7" s="10">
        <v>16858181</v>
      </c>
      <c r="D7" s="1"/>
    </row>
    <row r="8" spans="1:5" x14ac:dyDescent="0.35">
      <c r="A8" t="s">
        <v>8</v>
      </c>
      <c r="B8" s="10">
        <v>39766397</v>
      </c>
      <c r="C8" s="10">
        <v>39283062</v>
      </c>
    </row>
    <row r="9" spans="1:5" x14ac:dyDescent="0.35">
      <c r="A9" t="s">
        <v>9</v>
      </c>
      <c r="B9" s="10">
        <v>8934693</v>
      </c>
      <c r="C9" s="10">
        <v>8486150</v>
      </c>
    </row>
    <row r="10" spans="1:5" x14ac:dyDescent="0.35">
      <c r="A10" t="s">
        <v>10</v>
      </c>
      <c r="B10" s="10">
        <v>31359014</v>
      </c>
      <c r="C10" s="10">
        <v>30370871</v>
      </c>
    </row>
    <row r="11" spans="1:5" x14ac:dyDescent="0.35">
      <c r="A11" t="s">
        <v>11</v>
      </c>
      <c r="B11" s="10">
        <v>20308133</v>
      </c>
      <c r="C11" s="10">
        <v>23583114</v>
      </c>
    </row>
    <row r="12" spans="1:5" x14ac:dyDescent="0.35">
      <c r="A12" t="s">
        <v>12</v>
      </c>
      <c r="B12" s="10">
        <v>5063122</v>
      </c>
      <c r="C12" s="10">
        <v>5310544</v>
      </c>
    </row>
    <row r="13" spans="1:5" x14ac:dyDescent="0.35">
      <c r="A13" t="s">
        <v>13</v>
      </c>
      <c r="B13" s="10">
        <v>56777423</v>
      </c>
      <c r="C13" s="10">
        <v>54615241</v>
      </c>
    </row>
    <row r="14" spans="1:5" x14ac:dyDescent="0.35">
      <c r="A14" t="s">
        <v>14</v>
      </c>
      <c r="B14" s="10">
        <v>6471239</v>
      </c>
      <c r="C14" s="10">
        <v>5724911</v>
      </c>
    </row>
    <row r="15" spans="1:5" x14ac:dyDescent="0.35">
      <c r="A15" t="s">
        <v>15</v>
      </c>
      <c r="B15" s="10">
        <v>7567603</v>
      </c>
      <c r="C15" s="10">
        <v>7871984</v>
      </c>
    </row>
    <row r="16" spans="1:5" x14ac:dyDescent="0.35">
      <c r="A16" t="s">
        <v>16</v>
      </c>
      <c r="B16" s="10">
        <v>18995730</v>
      </c>
      <c r="C16" s="10">
        <v>20190965</v>
      </c>
    </row>
    <row r="17" spans="1:5" x14ac:dyDescent="0.35">
      <c r="A17" t="s">
        <v>17</v>
      </c>
      <c r="B17" s="10">
        <f>SUM(B10:B11,B14:B16)</f>
        <v>84701719</v>
      </c>
      <c r="C17" s="10">
        <f>SUM(C10:C11,C14:C16)</f>
        <v>87741845</v>
      </c>
    </row>
    <row r="18" spans="1:5" x14ac:dyDescent="0.35">
      <c r="A18" t="s">
        <v>18</v>
      </c>
      <c r="B18" s="10">
        <f>SUM(B12:B13)</f>
        <v>61840545</v>
      </c>
      <c r="C18" s="10">
        <f>SUM(C12:C13)</f>
        <v>59925785</v>
      </c>
    </row>
    <row r="19" spans="1:5" x14ac:dyDescent="0.35">
      <c r="A19" t="s">
        <v>19</v>
      </c>
      <c r="B19" s="10">
        <v>3212112</v>
      </c>
      <c r="C19" s="10">
        <v>2755735</v>
      </c>
    </row>
    <row r="20" spans="1:5" x14ac:dyDescent="0.35">
      <c r="A20" t="s">
        <v>20</v>
      </c>
      <c r="B20" s="10">
        <f>B5-B19</f>
        <v>4249395</v>
      </c>
      <c r="C20" s="10">
        <f>C5-C19</f>
        <v>4487870</v>
      </c>
    </row>
    <row r="21" spans="1:5" x14ac:dyDescent="0.35">
      <c r="A21" t="s">
        <v>608</v>
      </c>
      <c r="B21" s="10">
        <v>3720233</v>
      </c>
      <c r="C21" s="10">
        <f>B21/B5*C5</f>
        <v>3611589.2352530123</v>
      </c>
      <c r="D21" s="1"/>
      <c r="E21" s="1"/>
    </row>
    <row r="22" spans="1:5" x14ac:dyDescent="0.35">
      <c r="A22" t="s">
        <v>609</v>
      </c>
      <c r="B22" s="10">
        <v>3741274</v>
      </c>
      <c r="C22" s="10">
        <f>B22/B5*C5</f>
        <v>3632015.7647469873</v>
      </c>
      <c r="D22" s="1"/>
    </row>
    <row r="23" spans="1:5" x14ac:dyDescent="0.35">
      <c r="B23" s="1"/>
      <c r="C23" s="1"/>
    </row>
    <row r="24" spans="1:5" x14ac:dyDescent="0.35">
      <c r="B24" s="1"/>
      <c r="C24" s="1"/>
    </row>
    <row r="25" spans="1:5" x14ac:dyDescent="0.35">
      <c r="B2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9FB3D-3CA5-4E3F-AA07-FC7C5ABEC940}">
  <dimension ref="A1:Q145"/>
  <sheetViews>
    <sheetView tabSelected="1" zoomScaleNormal="100" workbookViewId="0">
      <selection activeCell="H2" sqref="H2"/>
    </sheetView>
  </sheetViews>
  <sheetFormatPr defaultRowHeight="14.5" x14ac:dyDescent="0.35"/>
  <cols>
    <col min="1" max="1" width="10.26953125" customWidth="1"/>
    <col min="2" max="2" width="16.81640625" customWidth="1"/>
    <col min="4" max="4" width="18.1796875" customWidth="1"/>
    <col min="5" max="5" width="11.26953125" style="2" bestFit="1" customWidth="1"/>
  </cols>
  <sheetData>
    <row r="1" spans="1:16" x14ac:dyDescent="0.35">
      <c r="A1" t="s">
        <v>23</v>
      </c>
      <c r="B1" t="s">
        <v>21</v>
      </c>
      <c r="C1" t="s">
        <v>22</v>
      </c>
      <c r="D1" t="s">
        <v>33</v>
      </c>
      <c r="E1" s="2" t="s">
        <v>32</v>
      </c>
    </row>
    <row r="2" spans="1:16" x14ac:dyDescent="0.35">
      <c r="A2" t="s">
        <v>3</v>
      </c>
      <c r="B2" t="s">
        <v>24</v>
      </c>
      <c r="C2" t="s">
        <v>30</v>
      </c>
      <c r="D2" t="s">
        <v>34</v>
      </c>
      <c r="E2" s="11">
        <v>234896</v>
      </c>
      <c r="J2" s="1"/>
      <c r="K2" s="1"/>
      <c r="L2" s="1"/>
      <c r="M2" s="1"/>
      <c r="N2" s="1"/>
      <c r="O2" s="1"/>
      <c r="P2" s="1"/>
    </row>
    <row r="3" spans="1:16" x14ac:dyDescent="0.35">
      <c r="A3" t="s">
        <v>3</v>
      </c>
      <c r="B3" t="s">
        <v>24</v>
      </c>
      <c r="C3" t="s">
        <v>30</v>
      </c>
      <c r="D3" t="s">
        <v>35</v>
      </c>
      <c r="E3" s="11">
        <v>335151</v>
      </c>
      <c r="J3" s="1"/>
      <c r="K3" s="1"/>
      <c r="L3" s="1"/>
      <c r="M3" s="1"/>
      <c r="N3" s="1"/>
      <c r="O3" s="1"/>
      <c r="P3" s="1"/>
    </row>
    <row r="4" spans="1:16" x14ac:dyDescent="0.35">
      <c r="A4" t="s">
        <v>3</v>
      </c>
      <c r="B4" t="s">
        <v>24</v>
      </c>
      <c r="C4" t="s">
        <v>30</v>
      </c>
      <c r="D4" t="s">
        <v>36</v>
      </c>
      <c r="E4" s="11">
        <v>716878</v>
      </c>
      <c r="J4" s="1"/>
      <c r="K4" s="1"/>
      <c r="L4" s="1"/>
      <c r="M4" s="1"/>
      <c r="N4" s="1"/>
      <c r="O4" s="1"/>
      <c r="P4" s="1"/>
    </row>
    <row r="5" spans="1:16" x14ac:dyDescent="0.35">
      <c r="A5" t="s">
        <v>3</v>
      </c>
      <c r="B5" t="s">
        <v>24</v>
      </c>
      <c r="C5" t="s">
        <v>30</v>
      </c>
      <c r="D5" t="s">
        <v>37</v>
      </c>
      <c r="E5" s="11">
        <v>701493</v>
      </c>
      <c r="J5" s="1"/>
      <c r="K5" s="1"/>
      <c r="L5" s="1"/>
      <c r="M5" s="1"/>
      <c r="O5" s="1"/>
      <c r="P5" s="1"/>
    </row>
    <row r="6" spans="1:16" x14ac:dyDescent="0.35">
      <c r="A6" t="s">
        <v>3</v>
      </c>
      <c r="B6" t="s">
        <v>24</v>
      </c>
      <c r="C6" t="s">
        <v>30</v>
      </c>
      <c r="D6" t="s">
        <v>38</v>
      </c>
      <c r="E6" s="11">
        <v>223191</v>
      </c>
      <c r="J6" s="1"/>
      <c r="K6" s="1"/>
      <c r="L6" s="1"/>
      <c r="M6" s="1"/>
      <c r="O6" s="1"/>
      <c r="P6" s="1"/>
    </row>
    <row r="7" spans="1:16" x14ac:dyDescent="0.35">
      <c r="A7" t="s">
        <v>3</v>
      </c>
      <c r="B7" t="s">
        <v>24</v>
      </c>
      <c r="C7" t="s">
        <v>30</v>
      </c>
      <c r="D7" t="s">
        <v>39</v>
      </c>
      <c r="E7" s="11">
        <v>146023</v>
      </c>
      <c r="J7" s="1"/>
      <c r="K7" s="1"/>
      <c r="M7" s="1"/>
      <c r="P7" s="1"/>
    </row>
    <row r="8" spans="1:16" x14ac:dyDescent="0.35">
      <c r="A8" t="s">
        <v>3</v>
      </c>
      <c r="B8" t="s">
        <v>25</v>
      </c>
      <c r="C8" t="s">
        <v>30</v>
      </c>
      <c r="D8" t="s">
        <v>34</v>
      </c>
      <c r="E8" s="11">
        <v>210443</v>
      </c>
    </row>
    <row r="9" spans="1:16" x14ac:dyDescent="0.35">
      <c r="A9" t="s">
        <v>3</v>
      </c>
      <c r="B9" t="s">
        <v>25</v>
      </c>
      <c r="C9" t="s">
        <v>30</v>
      </c>
      <c r="D9" t="s">
        <v>35</v>
      </c>
      <c r="E9" s="11">
        <v>164628</v>
      </c>
    </row>
    <row r="10" spans="1:16" x14ac:dyDescent="0.35">
      <c r="A10" t="s">
        <v>3</v>
      </c>
      <c r="B10" t="s">
        <v>25</v>
      </c>
      <c r="C10" t="s">
        <v>30</v>
      </c>
      <c r="D10" t="s">
        <v>36</v>
      </c>
      <c r="E10" s="11">
        <v>267536</v>
      </c>
    </row>
    <row r="11" spans="1:16" x14ac:dyDescent="0.35">
      <c r="A11" t="s">
        <v>3</v>
      </c>
      <c r="B11" t="s">
        <v>25</v>
      </c>
      <c r="C11" t="s">
        <v>30</v>
      </c>
      <c r="D11" t="s">
        <v>37</v>
      </c>
      <c r="E11" s="11">
        <v>263942</v>
      </c>
    </row>
    <row r="12" spans="1:16" x14ac:dyDescent="0.35">
      <c r="A12" t="s">
        <v>3</v>
      </c>
      <c r="B12" t="s">
        <v>25</v>
      </c>
      <c r="C12" t="s">
        <v>30</v>
      </c>
      <c r="D12" t="s">
        <v>38</v>
      </c>
      <c r="E12" s="11">
        <v>359011</v>
      </c>
    </row>
    <row r="13" spans="1:16" x14ac:dyDescent="0.35">
      <c r="A13" t="s">
        <v>3</v>
      </c>
      <c r="B13" t="s">
        <v>25</v>
      </c>
      <c r="C13" t="s">
        <v>30</v>
      </c>
      <c r="D13" t="s">
        <v>39</v>
      </c>
      <c r="E13" s="11">
        <v>267291</v>
      </c>
    </row>
    <row r="14" spans="1:16" x14ac:dyDescent="0.35">
      <c r="A14" t="s">
        <v>3</v>
      </c>
      <c r="B14" t="s">
        <v>26</v>
      </c>
      <c r="C14" t="s">
        <v>30</v>
      </c>
      <c r="D14" t="s">
        <v>34</v>
      </c>
      <c r="E14" s="11">
        <v>123681</v>
      </c>
    </row>
    <row r="15" spans="1:16" x14ac:dyDescent="0.35">
      <c r="A15" t="s">
        <v>3</v>
      </c>
      <c r="B15" t="s">
        <v>26</v>
      </c>
      <c r="C15" t="s">
        <v>30</v>
      </c>
      <c r="D15" t="s">
        <v>35</v>
      </c>
      <c r="E15" s="11">
        <v>111473</v>
      </c>
    </row>
    <row r="16" spans="1:16" x14ac:dyDescent="0.35">
      <c r="A16" t="s">
        <v>3</v>
      </c>
      <c r="B16" t="s">
        <v>26</v>
      </c>
      <c r="C16" t="s">
        <v>30</v>
      </c>
      <c r="D16" t="s">
        <v>36</v>
      </c>
      <c r="E16" s="11">
        <v>93189</v>
      </c>
    </row>
    <row r="17" spans="1:5" x14ac:dyDescent="0.35">
      <c r="A17" t="s">
        <v>3</v>
      </c>
      <c r="B17" t="s">
        <v>26</v>
      </c>
      <c r="C17" t="s">
        <v>30</v>
      </c>
      <c r="D17" t="s">
        <v>37</v>
      </c>
      <c r="E17" s="11">
        <v>437881</v>
      </c>
    </row>
    <row r="18" spans="1:5" x14ac:dyDescent="0.35">
      <c r="A18" t="s">
        <v>3</v>
      </c>
      <c r="B18" t="s">
        <v>26</v>
      </c>
      <c r="C18" t="s">
        <v>30</v>
      </c>
      <c r="D18" t="s">
        <v>38</v>
      </c>
      <c r="E18" s="11">
        <v>151721</v>
      </c>
    </row>
    <row r="19" spans="1:5" x14ac:dyDescent="0.35">
      <c r="A19" t="s">
        <v>3</v>
      </c>
      <c r="B19" t="s">
        <v>26</v>
      </c>
      <c r="C19" t="s">
        <v>30</v>
      </c>
      <c r="D19" t="s">
        <v>39</v>
      </c>
      <c r="E19" s="11">
        <v>40795</v>
      </c>
    </row>
    <row r="20" spans="1:5" x14ac:dyDescent="0.35">
      <c r="A20" t="s">
        <v>3</v>
      </c>
      <c r="B20" t="s">
        <v>27</v>
      </c>
      <c r="C20" t="s">
        <v>30</v>
      </c>
      <c r="D20" t="s">
        <v>34</v>
      </c>
      <c r="E20" s="11">
        <v>111954</v>
      </c>
    </row>
    <row r="21" spans="1:5" x14ac:dyDescent="0.35">
      <c r="A21" t="s">
        <v>3</v>
      </c>
      <c r="B21" t="s">
        <v>27</v>
      </c>
      <c r="C21" t="s">
        <v>30</v>
      </c>
      <c r="D21" t="s">
        <v>35</v>
      </c>
      <c r="E21" s="11">
        <v>714661</v>
      </c>
    </row>
    <row r="22" spans="1:5" x14ac:dyDescent="0.35">
      <c r="A22" t="s">
        <v>3</v>
      </c>
      <c r="B22" t="s">
        <v>27</v>
      </c>
      <c r="C22" t="s">
        <v>30</v>
      </c>
      <c r="D22" t="s">
        <v>36</v>
      </c>
      <c r="E22" s="11">
        <v>51737</v>
      </c>
    </row>
    <row r="23" spans="1:5" x14ac:dyDescent="0.35">
      <c r="A23" t="s">
        <v>3</v>
      </c>
      <c r="B23" t="s">
        <v>27</v>
      </c>
      <c r="C23" t="s">
        <v>30</v>
      </c>
      <c r="D23" t="s">
        <v>37</v>
      </c>
      <c r="E23" s="11">
        <v>65635</v>
      </c>
    </row>
    <row r="24" spans="1:5" x14ac:dyDescent="0.35">
      <c r="A24" t="s">
        <v>3</v>
      </c>
      <c r="B24" t="s">
        <v>27</v>
      </c>
      <c r="C24" t="s">
        <v>30</v>
      </c>
      <c r="D24" t="s">
        <v>38</v>
      </c>
      <c r="E24" s="11" t="s">
        <v>40</v>
      </c>
    </row>
    <row r="25" spans="1:5" x14ac:dyDescent="0.35">
      <c r="A25" t="s">
        <v>3</v>
      </c>
      <c r="B25" t="s">
        <v>27</v>
      </c>
      <c r="C25" t="s">
        <v>30</v>
      </c>
      <c r="D25" t="s">
        <v>39</v>
      </c>
      <c r="E25" s="11">
        <v>418081</v>
      </c>
    </row>
    <row r="26" spans="1:5" x14ac:dyDescent="0.35">
      <c r="A26" t="s">
        <v>3</v>
      </c>
      <c r="B26" t="s">
        <v>28</v>
      </c>
      <c r="C26" t="s">
        <v>30</v>
      </c>
      <c r="D26" t="s">
        <v>34</v>
      </c>
      <c r="E26" s="11">
        <v>87459</v>
      </c>
    </row>
    <row r="27" spans="1:5" x14ac:dyDescent="0.35">
      <c r="A27" t="s">
        <v>3</v>
      </c>
      <c r="B27" t="s">
        <v>28</v>
      </c>
      <c r="C27" t="s">
        <v>30</v>
      </c>
      <c r="D27" t="s">
        <v>35</v>
      </c>
      <c r="E27" s="11">
        <v>339161</v>
      </c>
    </row>
    <row r="28" spans="1:5" x14ac:dyDescent="0.35">
      <c r="A28" t="s">
        <v>3</v>
      </c>
      <c r="B28" t="s">
        <v>28</v>
      </c>
      <c r="C28" t="s">
        <v>30</v>
      </c>
      <c r="D28" t="s">
        <v>36</v>
      </c>
      <c r="E28" s="11">
        <v>806771</v>
      </c>
    </row>
    <row r="29" spans="1:5" x14ac:dyDescent="0.35">
      <c r="A29" t="s">
        <v>3</v>
      </c>
      <c r="B29" t="s">
        <v>28</v>
      </c>
      <c r="C29" t="s">
        <v>30</v>
      </c>
      <c r="D29" t="s">
        <v>37</v>
      </c>
      <c r="E29" s="11">
        <v>425341</v>
      </c>
    </row>
    <row r="30" spans="1:5" x14ac:dyDescent="0.35">
      <c r="A30" t="s">
        <v>3</v>
      </c>
      <c r="B30" t="s">
        <v>28</v>
      </c>
      <c r="C30" t="s">
        <v>30</v>
      </c>
      <c r="D30" t="s">
        <v>38</v>
      </c>
      <c r="E30" s="11" t="s">
        <v>40</v>
      </c>
    </row>
    <row r="31" spans="1:5" x14ac:dyDescent="0.35">
      <c r="A31" t="s">
        <v>3</v>
      </c>
      <c r="B31" t="s">
        <v>28</v>
      </c>
      <c r="C31" t="s">
        <v>30</v>
      </c>
      <c r="D31" t="s">
        <v>39</v>
      </c>
      <c r="E31" s="11">
        <v>358471</v>
      </c>
    </row>
    <row r="32" spans="1:5" x14ac:dyDescent="0.35">
      <c r="A32" t="s">
        <v>3</v>
      </c>
      <c r="B32" t="s">
        <v>29</v>
      </c>
      <c r="C32" t="s">
        <v>30</v>
      </c>
      <c r="D32" t="s">
        <v>34</v>
      </c>
      <c r="E32" s="11">
        <v>76614</v>
      </c>
    </row>
    <row r="33" spans="1:17" x14ac:dyDescent="0.35">
      <c r="A33" t="s">
        <v>3</v>
      </c>
      <c r="B33" t="s">
        <v>29</v>
      </c>
      <c r="C33" t="s">
        <v>30</v>
      </c>
      <c r="D33" t="s">
        <v>35</v>
      </c>
      <c r="E33" s="11">
        <v>147701</v>
      </c>
    </row>
    <row r="34" spans="1:17" x14ac:dyDescent="0.35">
      <c r="A34" t="s">
        <v>3</v>
      </c>
      <c r="B34" t="s">
        <v>29</v>
      </c>
      <c r="C34" t="s">
        <v>30</v>
      </c>
      <c r="D34" t="s">
        <v>36</v>
      </c>
      <c r="E34" s="11" t="s">
        <v>40</v>
      </c>
    </row>
    <row r="35" spans="1:17" x14ac:dyDescent="0.35">
      <c r="A35" t="s">
        <v>3</v>
      </c>
      <c r="B35" t="s">
        <v>29</v>
      </c>
      <c r="C35" t="s">
        <v>30</v>
      </c>
      <c r="D35" t="s">
        <v>37</v>
      </c>
      <c r="E35" s="11">
        <v>124361</v>
      </c>
    </row>
    <row r="36" spans="1:17" x14ac:dyDescent="0.35">
      <c r="A36" t="s">
        <v>3</v>
      </c>
      <c r="B36" t="s">
        <v>29</v>
      </c>
      <c r="C36" t="s">
        <v>30</v>
      </c>
      <c r="D36" t="s">
        <v>38</v>
      </c>
      <c r="E36" s="11" t="s">
        <v>40</v>
      </c>
    </row>
    <row r="37" spans="1:17" x14ac:dyDescent="0.35">
      <c r="A37" t="s">
        <v>3</v>
      </c>
      <c r="B37" t="s">
        <v>29</v>
      </c>
      <c r="C37" t="s">
        <v>30</v>
      </c>
      <c r="D37" t="s">
        <v>39</v>
      </c>
      <c r="E37" s="11" t="s">
        <v>40</v>
      </c>
    </row>
    <row r="38" spans="1:17" x14ac:dyDescent="0.35">
      <c r="A38" t="s">
        <v>3</v>
      </c>
      <c r="B38" t="s">
        <v>24</v>
      </c>
      <c r="C38" t="s">
        <v>31</v>
      </c>
      <c r="D38" t="s">
        <v>34</v>
      </c>
      <c r="E38" s="10">
        <v>66546</v>
      </c>
      <c r="K38" s="1"/>
      <c r="L38" s="1"/>
      <c r="M38" s="1"/>
      <c r="N38" s="1"/>
      <c r="O38" s="1"/>
      <c r="P38" s="1"/>
      <c r="Q38" s="1"/>
    </row>
    <row r="39" spans="1:17" x14ac:dyDescent="0.35">
      <c r="A39" t="s">
        <v>3</v>
      </c>
      <c r="B39" t="s">
        <v>24</v>
      </c>
      <c r="C39" t="s">
        <v>31</v>
      </c>
      <c r="D39" t="s">
        <v>35</v>
      </c>
      <c r="E39" s="10">
        <v>156979</v>
      </c>
      <c r="K39" s="1"/>
      <c r="L39" s="1"/>
      <c r="M39" s="1"/>
      <c r="N39" s="1"/>
      <c r="O39" s="1"/>
      <c r="P39" s="1"/>
      <c r="Q39" s="1"/>
    </row>
    <row r="40" spans="1:17" x14ac:dyDescent="0.35">
      <c r="A40" t="s">
        <v>3</v>
      </c>
      <c r="B40" t="s">
        <v>24</v>
      </c>
      <c r="C40" t="s">
        <v>31</v>
      </c>
      <c r="D40" t="s">
        <v>36</v>
      </c>
      <c r="E40" s="10">
        <v>607768</v>
      </c>
      <c r="K40" s="1"/>
      <c r="L40" s="1"/>
      <c r="M40" s="1"/>
      <c r="N40" s="1"/>
      <c r="O40" s="1"/>
      <c r="P40" s="1"/>
      <c r="Q40" s="1"/>
    </row>
    <row r="41" spans="1:17" x14ac:dyDescent="0.35">
      <c r="A41" t="s">
        <v>3</v>
      </c>
      <c r="B41" t="s">
        <v>24</v>
      </c>
      <c r="C41" t="s">
        <v>31</v>
      </c>
      <c r="D41" t="s">
        <v>37</v>
      </c>
      <c r="E41" s="10">
        <v>314753</v>
      </c>
      <c r="K41" s="1"/>
      <c r="L41" s="1"/>
      <c r="M41" s="1"/>
      <c r="N41" s="1"/>
      <c r="O41" s="1"/>
      <c r="P41" s="1"/>
      <c r="Q41" s="1"/>
    </row>
    <row r="42" spans="1:17" x14ac:dyDescent="0.35">
      <c r="A42" t="s">
        <v>3</v>
      </c>
      <c r="B42" t="s">
        <v>24</v>
      </c>
      <c r="C42" t="s">
        <v>31</v>
      </c>
      <c r="D42" t="s">
        <v>38</v>
      </c>
      <c r="E42" s="10">
        <v>28884</v>
      </c>
      <c r="K42" s="1"/>
      <c r="M42" s="1"/>
      <c r="Q42" s="1"/>
    </row>
    <row r="43" spans="1:17" x14ac:dyDescent="0.35">
      <c r="A43" t="s">
        <v>3</v>
      </c>
      <c r="B43" t="s">
        <v>24</v>
      </c>
      <c r="C43" t="s">
        <v>31</v>
      </c>
      <c r="D43" t="s">
        <v>39</v>
      </c>
      <c r="E43" s="10">
        <v>217617</v>
      </c>
      <c r="K43" s="1"/>
      <c r="L43" s="1"/>
      <c r="Q43" s="1"/>
    </row>
    <row r="44" spans="1:17" x14ac:dyDescent="0.35">
      <c r="A44" t="s">
        <v>3</v>
      </c>
      <c r="B44" t="s">
        <v>25</v>
      </c>
      <c r="C44" t="s">
        <v>31</v>
      </c>
      <c r="D44" t="s">
        <v>34</v>
      </c>
      <c r="E44" s="10">
        <v>29928</v>
      </c>
    </row>
    <row r="45" spans="1:17" x14ac:dyDescent="0.35">
      <c r="A45" t="s">
        <v>3</v>
      </c>
      <c r="B45" t="s">
        <v>25</v>
      </c>
      <c r="C45" t="s">
        <v>31</v>
      </c>
      <c r="D45" t="s">
        <v>35</v>
      </c>
      <c r="E45" s="10">
        <v>110419</v>
      </c>
    </row>
    <row r="46" spans="1:17" x14ac:dyDescent="0.35">
      <c r="A46" t="s">
        <v>3</v>
      </c>
      <c r="B46" t="s">
        <v>25</v>
      </c>
      <c r="C46" t="s">
        <v>31</v>
      </c>
      <c r="D46" t="s">
        <v>36</v>
      </c>
      <c r="E46" s="10">
        <v>98672</v>
      </c>
    </row>
    <row r="47" spans="1:17" x14ac:dyDescent="0.35">
      <c r="A47" t="s">
        <v>3</v>
      </c>
      <c r="B47" t="s">
        <v>25</v>
      </c>
      <c r="C47" t="s">
        <v>31</v>
      </c>
      <c r="D47" t="s">
        <v>37</v>
      </c>
      <c r="E47" s="10">
        <v>101749</v>
      </c>
    </row>
    <row r="48" spans="1:17" x14ac:dyDescent="0.35">
      <c r="A48" t="s">
        <v>3</v>
      </c>
      <c r="B48" t="s">
        <v>25</v>
      </c>
      <c r="C48" t="s">
        <v>31</v>
      </c>
      <c r="D48" t="s">
        <v>38</v>
      </c>
      <c r="E48" s="10">
        <v>40328</v>
      </c>
    </row>
    <row r="49" spans="1:5" x14ac:dyDescent="0.35">
      <c r="A49" t="s">
        <v>3</v>
      </c>
      <c r="B49" t="s">
        <v>25</v>
      </c>
      <c r="C49" t="s">
        <v>31</v>
      </c>
      <c r="D49" t="s">
        <v>39</v>
      </c>
      <c r="E49" s="10">
        <v>203284</v>
      </c>
    </row>
    <row r="50" spans="1:5" x14ac:dyDescent="0.35">
      <c r="A50" t="s">
        <v>3</v>
      </c>
      <c r="B50" t="s">
        <v>26</v>
      </c>
      <c r="C50" t="s">
        <v>31</v>
      </c>
      <c r="D50" t="s">
        <v>34</v>
      </c>
      <c r="E50" s="10">
        <v>101037</v>
      </c>
    </row>
    <row r="51" spans="1:5" x14ac:dyDescent="0.35">
      <c r="A51" t="s">
        <v>3</v>
      </c>
      <c r="B51" t="s">
        <v>26</v>
      </c>
      <c r="C51" t="s">
        <v>31</v>
      </c>
      <c r="D51" t="s">
        <v>35</v>
      </c>
      <c r="E51" s="10">
        <v>61725</v>
      </c>
    </row>
    <row r="52" spans="1:5" x14ac:dyDescent="0.35">
      <c r="A52" t="s">
        <v>3</v>
      </c>
      <c r="B52" t="s">
        <v>26</v>
      </c>
      <c r="C52" t="s">
        <v>31</v>
      </c>
      <c r="D52" t="s">
        <v>36</v>
      </c>
      <c r="E52" s="10">
        <v>601091</v>
      </c>
    </row>
    <row r="53" spans="1:5" x14ac:dyDescent="0.35">
      <c r="A53" t="s">
        <v>3</v>
      </c>
      <c r="B53" t="s">
        <v>26</v>
      </c>
      <c r="C53" t="s">
        <v>31</v>
      </c>
      <c r="D53" t="s">
        <v>37</v>
      </c>
      <c r="E53" s="10">
        <v>425151</v>
      </c>
    </row>
    <row r="54" spans="1:5" x14ac:dyDescent="0.35">
      <c r="A54" t="s">
        <v>3</v>
      </c>
      <c r="B54" t="s">
        <v>26</v>
      </c>
      <c r="C54" t="s">
        <v>31</v>
      </c>
      <c r="D54" t="s">
        <v>38</v>
      </c>
      <c r="E54" s="10">
        <v>108571</v>
      </c>
    </row>
    <row r="55" spans="1:5" x14ac:dyDescent="0.35">
      <c r="A55" t="s">
        <v>3</v>
      </c>
      <c r="B55" t="s">
        <v>26</v>
      </c>
      <c r="C55" t="s">
        <v>31</v>
      </c>
      <c r="D55" t="s">
        <v>39</v>
      </c>
      <c r="E55" s="10">
        <v>29442</v>
      </c>
    </row>
    <row r="56" spans="1:5" x14ac:dyDescent="0.35">
      <c r="A56" t="s">
        <v>3</v>
      </c>
      <c r="B56" t="s">
        <v>27</v>
      </c>
      <c r="C56" t="s">
        <v>31</v>
      </c>
      <c r="D56" t="s">
        <v>34</v>
      </c>
      <c r="E56" s="10">
        <v>77916</v>
      </c>
    </row>
    <row r="57" spans="1:5" x14ac:dyDescent="0.35">
      <c r="A57" t="s">
        <v>3</v>
      </c>
      <c r="B57" t="s">
        <v>27</v>
      </c>
      <c r="C57" t="s">
        <v>31</v>
      </c>
      <c r="D57" t="s">
        <v>35</v>
      </c>
      <c r="E57" s="10">
        <v>460721</v>
      </c>
    </row>
    <row r="58" spans="1:5" x14ac:dyDescent="0.35">
      <c r="A58" t="s">
        <v>3</v>
      </c>
      <c r="B58" t="s">
        <v>27</v>
      </c>
      <c r="C58" t="s">
        <v>31</v>
      </c>
      <c r="D58" t="s">
        <v>36</v>
      </c>
      <c r="E58" s="10">
        <v>25986</v>
      </c>
    </row>
    <row r="59" spans="1:5" x14ac:dyDescent="0.35">
      <c r="A59" t="s">
        <v>3</v>
      </c>
      <c r="B59" t="s">
        <v>27</v>
      </c>
      <c r="C59" t="s">
        <v>31</v>
      </c>
      <c r="D59" t="s">
        <v>37</v>
      </c>
      <c r="E59" s="10">
        <v>193871</v>
      </c>
    </row>
    <row r="60" spans="1:5" x14ac:dyDescent="0.35">
      <c r="A60" t="s">
        <v>3</v>
      </c>
      <c r="B60" t="s">
        <v>27</v>
      </c>
      <c r="C60" t="s">
        <v>31</v>
      </c>
      <c r="D60" t="s">
        <v>38</v>
      </c>
      <c r="E60" s="10">
        <v>68001</v>
      </c>
    </row>
    <row r="61" spans="1:5" x14ac:dyDescent="0.35">
      <c r="A61" t="s">
        <v>3</v>
      </c>
      <c r="B61" t="s">
        <v>27</v>
      </c>
      <c r="C61" t="s">
        <v>31</v>
      </c>
      <c r="D61" t="s">
        <v>39</v>
      </c>
      <c r="E61" s="10">
        <v>277891</v>
      </c>
    </row>
    <row r="62" spans="1:5" x14ac:dyDescent="0.35">
      <c r="A62" t="s">
        <v>3</v>
      </c>
      <c r="B62" t="s">
        <v>28</v>
      </c>
      <c r="C62" t="s">
        <v>31</v>
      </c>
      <c r="D62" t="s">
        <v>34</v>
      </c>
      <c r="E62" s="10">
        <v>59752</v>
      </c>
    </row>
    <row r="63" spans="1:5" x14ac:dyDescent="0.35">
      <c r="A63" t="s">
        <v>3</v>
      </c>
      <c r="B63" t="s">
        <v>28</v>
      </c>
      <c r="C63" t="s">
        <v>31</v>
      </c>
      <c r="D63" t="s">
        <v>35</v>
      </c>
      <c r="E63" s="10" t="s">
        <v>40</v>
      </c>
    </row>
    <row r="64" spans="1:5" x14ac:dyDescent="0.35">
      <c r="A64" t="s">
        <v>3</v>
      </c>
      <c r="B64" t="s">
        <v>28</v>
      </c>
      <c r="C64" t="s">
        <v>31</v>
      </c>
      <c r="D64" t="s">
        <v>36</v>
      </c>
      <c r="E64" s="10">
        <v>78521</v>
      </c>
    </row>
    <row r="65" spans="1:16" x14ac:dyDescent="0.35">
      <c r="A65" t="s">
        <v>3</v>
      </c>
      <c r="B65" t="s">
        <v>28</v>
      </c>
      <c r="C65" t="s">
        <v>31</v>
      </c>
      <c r="D65" t="s">
        <v>37</v>
      </c>
      <c r="E65" s="10" t="s">
        <v>40</v>
      </c>
    </row>
    <row r="66" spans="1:16" x14ac:dyDescent="0.35">
      <c r="A66" t="s">
        <v>3</v>
      </c>
      <c r="B66" t="s">
        <v>28</v>
      </c>
      <c r="C66" t="s">
        <v>31</v>
      </c>
      <c r="D66" t="s">
        <v>38</v>
      </c>
      <c r="E66" s="10" t="s">
        <v>40</v>
      </c>
    </row>
    <row r="67" spans="1:16" x14ac:dyDescent="0.35">
      <c r="A67" t="s">
        <v>3</v>
      </c>
      <c r="B67" t="s">
        <v>28</v>
      </c>
      <c r="C67" t="s">
        <v>31</v>
      </c>
      <c r="D67" t="s">
        <v>39</v>
      </c>
      <c r="E67" s="10" t="s">
        <v>40</v>
      </c>
    </row>
    <row r="68" spans="1:16" x14ac:dyDescent="0.35">
      <c r="A68" t="s">
        <v>3</v>
      </c>
      <c r="B68" t="s">
        <v>29</v>
      </c>
      <c r="C68" t="s">
        <v>31</v>
      </c>
      <c r="D68" t="s">
        <v>34</v>
      </c>
      <c r="E68" s="10">
        <v>65338</v>
      </c>
    </row>
    <row r="69" spans="1:16" x14ac:dyDescent="0.35">
      <c r="A69" t="s">
        <v>3</v>
      </c>
      <c r="B69" t="s">
        <v>29</v>
      </c>
      <c r="C69" t="s">
        <v>31</v>
      </c>
      <c r="D69" t="s">
        <v>35</v>
      </c>
      <c r="E69" s="10">
        <v>153711</v>
      </c>
    </row>
    <row r="70" spans="1:16" x14ac:dyDescent="0.35">
      <c r="A70" t="s">
        <v>3</v>
      </c>
      <c r="B70" t="s">
        <v>29</v>
      </c>
      <c r="C70" t="s">
        <v>31</v>
      </c>
      <c r="D70" t="s">
        <v>36</v>
      </c>
      <c r="E70" s="10" t="s">
        <v>40</v>
      </c>
    </row>
    <row r="71" spans="1:16" x14ac:dyDescent="0.35">
      <c r="A71" t="s">
        <v>3</v>
      </c>
      <c r="B71" t="s">
        <v>29</v>
      </c>
      <c r="C71" t="s">
        <v>31</v>
      </c>
      <c r="D71" t="s">
        <v>37</v>
      </c>
      <c r="E71" s="10" t="s">
        <v>40</v>
      </c>
    </row>
    <row r="72" spans="1:16" x14ac:dyDescent="0.35">
      <c r="A72" t="s">
        <v>3</v>
      </c>
      <c r="B72" t="s">
        <v>29</v>
      </c>
      <c r="C72" t="s">
        <v>31</v>
      </c>
      <c r="D72" t="s">
        <v>38</v>
      </c>
      <c r="E72" s="10" t="s">
        <v>40</v>
      </c>
    </row>
    <row r="73" spans="1:16" x14ac:dyDescent="0.35">
      <c r="A73" t="s">
        <v>3</v>
      </c>
      <c r="B73" t="s">
        <v>29</v>
      </c>
      <c r="C73" t="s">
        <v>31</v>
      </c>
      <c r="D73" t="s">
        <v>39</v>
      </c>
      <c r="E73" s="10" t="s">
        <v>40</v>
      </c>
    </row>
    <row r="74" spans="1:16" x14ac:dyDescent="0.35">
      <c r="A74" t="s">
        <v>2</v>
      </c>
      <c r="B74" t="s">
        <v>24</v>
      </c>
      <c r="C74" t="s">
        <v>30</v>
      </c>
      <c r="D74" t="s">
        <v>34</v>
      </c>
      <c r="E74" s="10">
        <v>1725342</v>
      </c>
      <c r="J74" s="1"/>
      <c r="K74" s="1"/>
      <c r="L74" s="1"/>
      <c r="M74" s="1"/>
      <c r="N74" s="1"/>
      <c r="O74" s="1"/>
      <c r="P74" s="1"/>
    </row>
    <row r="75" spans="1:16" x14ac:dyDescent="0.35">
      <c r="A75" t="s">
        <v>2</v>
      </c>
      <c r="B75" t="s">
        <v>24</v>
      </c>
      <c r="C75" t="s">
        <v>30</v>
      </c>
      <c r="D75" t="s">
        <v>35</v>
      </c>
      <c r="E75" s="10">
        <v>2388828</v>
      </c>
      <c r="J75" s="1"/>
      <c r="K75" s="1"/>
      <c r="L75" s="1"/>
      <c r="M75" s="1"/>
      <c r="N75" s="1"/>
      <c r="O75" s="1"/>
      <c r="P75" s="1"/>
    </row>
    <row r="76" spans="1:16" x14ac:dyDescent="0.35">
      <c r="A76" t="s">
        <v>2</v>
      </c>
      <c r="B76" t="s">
        <v>24</v>
      </c>
      <c r="C76" t="s">
        <v>30</v>
      </c>
      <c r="D76" t="s">
        <v>36</v>
      </c>
      <c r="E76" s="10">
        <v>3174714</v>
      </c>
      <c r="J76" s="1"/>
      <c r="K76" s="1"/>
      <c r="L76" s="1"/>
      <c r="M76" s="1"/>
      <c r="N76" s="1"/>
      <c r="O76" s="1"/>
      <c r="P76" s="1"/>
    </row>
    <row r="77" spans="1:16" x14ac:dyDescent="0.35">
      <c r="A77" t="s">
        <v>2</v>
      </c>
      <c r="B77" t="s">
        <v>24</v>
      </c>
      <c r="C77" t="s">
        <v>30</v>
      </c>
      <c r="D77" t="s">
        <v>37</v>
      </c>
      <c r="E77" s="10">
        <v>3159472</v>
      </c>
      <c r="J77" s="1"/>
      <c r="K77" s="1"/>
      <c r="L77" s="1"/>
      <c r="M77" s="1"/>
      <c r="N77" s="1"/>
      <c r="O77" s="1"/>
      <c r="P77" s="1"/>
    </row>
    <row r="78" spans="1:16" x14ac:dyDescent="0.35">
      <c r="A78" t="s">
        <v>2</v>
      </c>
      <c r="B78" t="s">
        <v>24</v>
      </c>
      <c r="C78" t="s">
        <v>30</v>
      </c>
      <c r="D78" t="s">
        <v>38</v>
      </c>
      <c r="E78" s="10">
        <v>63509</v>
      </c>
      <c r="J78" s="1"/>
      <c r="K78" s="1"/>
      <c r="L78" s="1"/>
      <c r="M78" s="1"/>
      <c r="N78" s="1"/>
      <c r="O78" s="1"/>
      <c r="P78" s="1"/>
    </row>
    <row r="79" spans="1:16" x14ac:dyDescent="0.35">
      <c r="A79" t="s">
        <v>2</v>
      </c>
      <c r="B79" t="s">
        <v>24</v>
      </c>
      <c r="C79" t="s">
        <v>30</v>
      </c>
      <c r="D79" t="s">
        <v>39</v>
      </c>
      <c r="E79" s="10">
        <v>366501</v>
      </c>
      <c r="J79" s="1"/>
      <c r="K79" s="1"/>
      <c r="L79" s="1"/>
      <c r="M79" s="1"/>
      <c r="N79" s="1"/>
      <c r="O79" s="1"/>
      <c r="P79" s="1"/>
    </row>
    <row r="80" spans="1:16" x14ac:dyDescent="0.35">
      <c r="A80" t="s">
        <v>2</v>
      </c>
      <c r="B80" t="s">
        <v>25</v>
      </c>
      <c r="C80" t="s">
        <v>30</v>
      </c>
      <c r="D80" t="s">
        <v>34</v>
      </c>
      <c r="E80" s="10">
        <v>3759872</v>
      </c>
    </row>
    <row r="81" spans="1:5" x14ac:dyDescent="0.35">
      <c r="A81" t="s">
        <v>2</v>
      </c>
      <c r="B81" t="s">
        <v>25</v>
      </c>
      <c r="C81" t="s">
        <v>30</v>
      </c>
      <c r="D81" t="s">
        <v>35</v>
      </c>
      <c r="E81" s="10">
        <v>3740022</v>
      </c>
    </row>
    <row r="82" spans="1:5" x14ac:dyDescent="0.35">
      <c r="A82" t="s">
        <v>2</v>
      </c>
      <c r="B82" t="s">
        <v>25</v>
      </c>
      <c r="C82" t="s">
        <v>30</v>
      </c>
      <c r="D82" t="s">
        <v>36</v>
      </c>
      <c r="E82" s="10">
        <v>5559001</v>
      </c>
    </row>
    <row r="83" spans="1:5" x14ac:dyDescent="0.35">
      <c r="A83" t="s">
        <v>2</v>
      </c>
      <c r="B83" t="s">
        <v>25</v>
      </c>
      <c r="C83" t="s">
        <v>30</v>
      </c>
      <c r="D83" t="s">
        <v>37</v>
      </c>
      <c r="E83" s="10">
        <v>4488566</v>
      </c>
    </row>
    <row r="84" spans="1:5" x14ac:dyDescent="0.35">
      <c r="A84" t="s">
        <v>2</v>
      </c>
      <c r="B84" t="s">
        <v>25</v>
      </c>
      <c r="C84" t="s">
        <v>30</v>
      </c>
      <c r="D84" t="s">
        <v>38</v>
      </c>
      <c r="E84" s="10">
        <v>487133</v>
      </c>
    </row>
    <row r="85" spans="1:5" x14ac:dyDescent="0.35">
      <c r="A85" t="s">
        <v>2</v>
      </c>
      <c r="B85" t="s">
        <v>25</v>
      </c>
      <c r="C85" t="s">
        <v>30</v>
      </c>
      <c r="D85" t="s">
        <v>39</v>
      </c>
      <c r="E85" s="10">
        <v>2845499</v>
      </c>
    </row>
    <row r="86" spans="1:5" x14ac:dyDescent="0.35">
      <c r="A86" t="s">
        <v>2</v>
      </c>
      <c r="B86" t="s">
        <v>26</v>
      </c>
      <c r="C86" t="s">
        <v>30</v>
      </c>
      <c r="D86" t="s">
        <v>34</v>
      </c>
      <c r="E86" s="10">
        <v>5994794</v>
      </c>
    </row>
    <row r="87" spans="1:5" x14ac:dyDescent="0.35">
      <c r="A87" t="s">
        <v>2</v>
      </c>
      <c r="B87" t="s">
        <v>26</v>
      </c>
      <c r="C87" t="s">
        <v>30</v>
      </c>
      <c r="D87" t="s">
        <v>35</v>
      </c>
      <c r="E87" s="10">
        <v>4525186</v>
      </c>
    </row>
    <row r="88" spans="1:5" x14ac:dyDescent="0.35">
      <c r="A88" t="s">
        <v>2</v>
      </c>
      <c r="B88" t="s">
        <v>26</v>
      </c>
      <c r="C88" t="s">
        <v>30</v>
      </c>
      <c r="D88" t="s">
        <v>36</v>
      </c>
      <c r="E88" s="10">
        <v>4817705</v>
      </c>
    </row>
    <row r="89" spans="1:5" x14ac:dyDescent="0.35">
      <c r="A89" t="s">
        <v>2</v>
      </c>
      <c r="B89" t="s">
        <v>26</v>
      </c>
      <c r="C89" t="s">
        <v>30</v>
      </c>
      <c r="D89" t="s">
        <v>37</v>
      </c>
      <c r="E89" s="10">
        <v>2642098</v>
      </c>
    </row>
    <row r="90" spans="1:5" x14ac:dyDescent="0.35">
      <c r="A90" t="s">
        <v>2</v>
      </c>
      <c r="B90" t="s">
        <v>26</v>
      </c>
      <c r="C90" t="s">
        <v>30</v>
      </c>
      <c r="D90" t="s">
        <v>38</v>
      </c>
      <c r="E90" s="10">
        <v>505351</v>
      </c>
    </row>
    <row r="91" spans="1:5" x14ac:dyDescent="0.35">
      <c r="A91" t="s">
        <v>2</v>
      </c>
      <c r="B91" t="s">
        <v>26</v>
      </c>
      <c r="C91" t="s">
        <v>30</v>
      </c>
      <c r="D91" t="s">
        <v>39</v>
      </c>
      <c r="E91" s="10">
        <v>2197540</v>
      </c>
    </row>
    <row r="92" spans="1:5" x14ac:dyDescent="0.35">
      <c r="A92" t="s">
        <v>2</v>
      </c>
      <c r="B92" t="s">
        <v>27</v>
      </c>
      <c r="C92" t="s">
        <v>30</v>
      </c>
      <c r="D92" t="s">
        <v>34</v>
      </c>
      <c r="E92" s="10">
        <v>7350929</v>
      </c>
    </row>
    <row r="93" spans="1:5" x14ac:dyDescent="0.35">
      <c r="A93" t="s">
        <v>2</v>
      </c>
      <c r="B93" t="s">
        <v>27</v>
      </c>
      <c r="C93" t="s">
        <v>30</v>
      </c>
      <c r="D93" t="s">
        <v>35</v>
      </c>
      <c r="E93" s="10">
        <v>3430942</v>
      </c>
    </row>
    <row r="94" spans="1:5" x14ac:dyDescent="0.35">
      <c r="A94" t="s">
        <v>2</v>
      </c>
      <c r="B94" t="s">
        <v>27</v>
      </c>
      <c r="C94" t="s">
        <v>30</v>
      </c>
      <c r="D94" t="s">
        <v>36</v>
      </c>
      <c r="E94" s="10">
        <v>3746644</v>
      </c>
    </row>
    <row r="95" spans="1:5" x14ac:dyDescent="0.35">
      <c r="A95" t="s">
        <v>2</v>
      </c>
      <c r="B95" t="s">
        <v>27</v>
      </c>
      <c r="C95" t="s">
        <v>30</v>
      </c>
      <c r="D95" t="s">
        <v>37</v>
      </c>
      <c r="E95" s="10">
        <v>1664015</v>
      </c>
    </row>
    <row r="96" spans="1:5" x14ac:dyDescent="0.35">
      <c r="A96" t="s">
        <v>2</v>
      </c>
      <c r="B96" t="s">
        <v>27</v>
      </c>
      <c r="C96" t="s">
        <v>30</v>
      </c>
      <c r="D96" t="s">
        <v>38</v>
      </c>
      <c r="E96" s="10">
        <v>267395</v>
      </c>
    </row>
    <row r="97" spans="1:16" x14ac:dyDescent="0.35">
      <c r="A97" t="s">
        <v>2</v>
      </c>
      <c r="B97" t="s">
        <v>27</v>
      </c>
      <c r="C97" t="s">
        <v>30</v>
      </c>
      <c r="D97" t="s">
        <v>39</v>
      </c>
      <c r="E97" s="10">
        <v>1414602</v>
      </c>
    </row>
    <row r="98" spans="1:16" x14ac:dyDescent="0.35">
      <c r="A98" t="s">
        <v>2</v>
      </c>
      <c r="B98" t="s">
        <v>28</v>
      </c>
      <c r="C98" t="s">
        <v>30</v>
      </c>
      <c r="D98" t="s">
        <v>34</v>
      </c>
      <c r="E98" s="10">
        <v>6352015</v>
      </c>
    </row>
    <row r="99" spans="1:16" x14ac:dyDescent="0.35">
      <c r="A99" t="s">
        <v>2</v>
      </c>
      <c r="B99" t="s">
        <v>28</v>
      </c>
      <c r="C99" t="s">
        <v>30</v>
      </c>
      <c r="D99" t="s">
        <v>35</v>
      </c>
      <c r="E99" s="10">
        <v>1586131</v>
      </c>
    </row>
    <row r="100" spans="1:16" x14ac:dyDescent="0.35">
      <c r="A100" t="s">
        <v>2</v>
      </c>
      <c r="B100" t="s">
        <v>28</v>
      </c>
      <c r="C100" t="s">
        <v>30</v>
      </c>
      <c r="D100" t="s">
        <v>36</v>
      </c>
      <c r="E100" s="10">
        <v>1936914</v>
      </c>
    </row>
    <row r="101" spans="1:16" x14ac:dyDescent="0.35">
      <c r="A101" t="s">
        <v>2</v>
      </c>
      <c r="B101" t="s">
        <v>28</v>
      </c>
      <c r="C101" t="s">
        <v>30</v>
      </c>
      <c r="D101" t="s">
        <v>37</v>
      </c>
      <c r="E101" s="10">
        <v>818779</v>
      </c>
    </row>
    <row r="102" spans="1:16" x14ac:dyDescent="0.35">
      <c r="A102" t="s">
        <v>2</v>
      </c>
      <c r="B102" t="s">
        <v>28</v>
      </c>
      <c r="C102" t="s">
        <v>30</v>
      </c>
      <c r="D102" t="s">
        <v>38</v>
      </c>
      <c r="E102" s="10">
        <v>181694</v>
      </c>
    </row>
    <row r="103" spans="1:16" x14ac:dyDescent="0.35">
      <c r="A103" t="s">
        <v>2</v>
      </c>
      <c r="B103" t="s">
        <v>28</v>
      </c>
      <c r="C103" t="s">
        <v>30</v>
      </c>
      <c r="D103" t="s">
        <v>39</v>
      </c>
      <c r="E103" s="10">
        <v>845113</v>
      </c>
    </row>
    <row r="104" spans="1:16" x14ac:dyDescent="0.35">
      <c r="A104" t="s">
        <v>2</v>
      </c>
      <c r="B104" t="s">
        <v>29</v>
      </c>
      <c r="C104" t="s">
        <v>30</v>
      </c>
      <c r="D104" t="s">
        <v>34</v>
      </c>
      <c r="E104" s="10">
        <v>5104255</v>
      </c>
    </row>
    <row r="105" spans="1:16" x14ac:dyDescent="0.35">
      <c r="A105" t="s">
        <v>2</v>
      </c>
      <c r="B105" t="s">
        <v>29</v>
      </c>
      <c r="C105" t="s">
        <v>30</v>
      </c>
      <c r="D105" t="s">
        <v>35</v>
      </c>
      <c r="E105" s="10">
        <v>572462</v>
      </c>
    </row>
    <row r="106" spans="1:16" x14ac:dyDescent="0.35">
      <c r="A106" t="s">
        <v>2</v>
      </c>
      <c r="B106" t="s">
        <v>29</v>
      </c>
      <c r="C106" t="s">
        <v>30</v>
      </c>
      <c r="D106" t="s">
        <v>36</v>
      </c>
      <c r="E106" s="10">
        <v>378111</v>
      </c>
    </row>
    <row r="107" spans="1:16" x14ac:dyDescent="0.35">
      <c r="A107" t="s">
        <v>2</v>
      </c>
      <c r="B107" t="s">
        <v>29</v>
      </c>
      <c r="C107" t="s">
        <v>30</v>
      </c>
      <c r="D107" t="s">
        <v>37</v>
      </c>
      <c r="E107" s="10">
        <v>275108</v>
      </c>
    </row>
    <row r="108" spans="1:16" x14ac:dyDescent="0.35">
      <c r="A108" t="s">
        <v>2</v>
      </c>
      <c r="B108" t="s">
        <v>29</v>
      </c>
      <c r="C108" t="s">
        <v>30</v>
      </c>
      <c r="D108" t="s">
        <v>38</v>
      </c>
      <c r="E108" s="10">
        <v>117193</v>
      </c>
    </row>
    <row r="109" spans="1:16" x14ac:dyDescent="0.35">
      <c r="A109" t="s">
        <v>2</v>
      </c>
      <c r="B109" t="s">
        <v>29</v>
      </c>
      <c r="C109" t="s">
        <v>30</v>
      </c>
      <c r="D109" t="s">
        <v>39</v>
      </c>
      <c r="E109" s="10">
        <v>264844</v>
      </c>
    </row>
    <row r="110" spans="1:16" x14ac:dyDescent="0.35">
      <c r="A110" t="s">
        <v>2</v>
      </c>
      <c r="B110" t="s">
        <v>24</v>
      </c>
      <c r="C110" t="s">
        <v>31</v>
      </c>
      <c r="D110" t="s">
        <v>34</v>
      </c>
      <c r="E110" s="10">
        <v>512520</v>
      </c>
      <c r="J110" s="1"/>
      <c r="K110" s="1"/>
      <c r="L110" s="1"/>
      <c r="M110" s="1"/>
      <c r="N110" s="1"/>
      <c r="O110" s="1"/>
      <c r="P110" s="1"/>
    </row>
    <row r="111" spans="1:16" x14ac:dyDescent="0.35">
      <c r="A111" t="s">
        <v>2</v>
      </c>
      <c r="B111" t="s">
        <v>24</v>
      </c>
      <c r="C111" t="s">
        <v>31</v>
      </c>
      <c r="D111" t="s">
        <v>35</v>
      </c>
      <c r="E111" s="10">
        <v>1129674</v>
      </c>
      <c r="J111" s="1"/>
      <c r="K111" s="1"/>
      <c r="L111" s="1"/>
      <c r="M111" s="1"/>
      <c r="N111" s="1"/>
      <c r="O111" s="1"/>
      <c r="P111" s="1"/>
    </row>
    <row r="112" spans="1:16" x14ac:dyDescent="0.35">
      <c r="A112" t="s">
        <v>2</v>
      </c>
      <c r="B112" t="s">
        <v>24</v>
      </c>
      <c r="C112" t="s">
        <v>31</v>
      </c>
      <c r="D112" t="s">
        <v>36</v>
      </c>
      <c r="E112" s="10">
        <v>2642992</v>
      </c>
      <c r="J112" s="1"/>
      <c r="K112" s="1"/>
      <c r="L112" s="1"/>
      <c r="M112" s="1"/>
      <c r="N112" s="1"/>
      <c r="O112" s="1"/>
      <c r="P112" s="1"/>
    </row>
    <row r="113" spans="1:16" x14ac:dyDescent="0.35">
      <c r="A113" t="s">
        <v>2</v>
      </c>
      <c r="B113" t="s">
        <v>24</v>
      </c>
      <c r="C113" t="s">
        <v>31</v>
      </c>
      <c r="D113" t="s">
        <v>37</v>
      </c>
      <c r="E113" s="10">
        <v>2063303</v>
      </c>
      <c r="J113" s="1"/>
      <c r="K113" s="1"/>
      <c r="L113" s="1"/>
      <c r="M113" s="1"/>
      <c r="N113" s="1"/>
      <c r="O113" s="1"/>
      <c r="P113" s="1"/>
    </row>
    <row r="114" spans="1:16" x14ac:dyDescent="0.35">
      <c r="A114" t="s">
        <v>2</v>
      </c>
      <c r="B114" t="s">
        <v>24</v>
      </c>
      <c r="C114" t="s">
        <v>31</v>
      </c>
      <c r="D114" t="s">
        <v>38</v>
      </c>
      <c r="E114" s="10">
        <v>198281</v>
      </c>
      <c r="J114" s="1"/>
      <c r="K114" s="1"/>
      <c r="L114" s="1"/>
      <c r="M114" s="1"/>
      <c r="N114" s="1"/>
      <c r="O114" s="1"/>
      <c r="P114" s="1"/>
    </row>
    <row r="115" spans="1:16" x14ac:dyDescent="0.35">
      <c r="A115" t="s">
        <v>2</v>
      </c>
      <c r="B115" t="s">
        <v>24</v>
      </c>
      <c r="C115" t="s">
        <v>31</v>
      </c>
      <c r="D115" t="s">
        <v>39</v>
      </c>
      <c r="E115" s="10">
        <v>716125</v>
      </c>
      <c r="J115" s="1"/>
      <c r="K115" s="1"/>
      <c r="L115" s="1"/>
      <c r="M115" s="1"/>
      <c r="N115" s="1"/>
      <c r="O115" s="1"/>
      <c r="P115" s="1"/>
    </row>
    <row r="116" spans="1:16" x14ac:dyDescent="0.35">
      <c r="A116" t="s">
        <v>2</v>
      </c>
      <c r="B116" t="s">
        <v>25</v>
      </c>
      <c r="C116" t="s">
        <v>31</v>
      </c>
      <c r="D116" t="s">
        <v>34</v>
      </c>
      <c r="E116" s="10">
        <v>1714798</v>
      </c>
    </row>
    <row r="117" spans="1:16" x14ac:dyDescent="0.35">
      <c r="A117" t="s">
        <v>2</v>
      </c>
      <c r="B117" t="s">
        <v>25</v>
      </c>
      <c r="C117" t="s">
        <v>31</v>
      </c>
      <c r="D117" t="s">
        <v>35</v>
      </c>
      <c r="E117" s="10">
        <v>2219373</v>
      </c>
    </row>
    <row r="118" spans="1:16" x14ac:dyDescent="0.35">
      <c r="A118" t="s">
        <v>2</v>
      </c>
      <c r="B118" t="s">
        <v>25</v>
      </c>
      <c r="C118" t="s">
        <v>31</v>
      </c>
      <c r="D118" t="s">
        <v>36</v>
      </c>
      <c r="E118" s="10">
        <v>3005951</v>
      </c>
    </row>
    <row r="119" spans="1:16" x14ac:dyDescent="0.35">
      <c r="A119" t="s">
        <v>2</v>
      </c>
      <c r="B119" t="s">
        <v>25</v>
      </c>
      <c r="C119" t="s">
        <v>31</v>
      </c>
      <c r="D119" t="s">
        <v>37</v>
      </c>
      <c r="E119" s="10">
        <v>1730601</v>
      </c>
    </row>
    <row r="120" spans="1:16" x14ac:dyDescent="0.35">
      <c r="A120" t="s">
        <v>2</v>
      </c>
      <c r="B120" t="s">
        <v>25</v>
      </c>
      <c r="C120" t="s">
        <v>31</v>
      </c>
      <c r="D120" t="s">
        <v>38</v>
      </c>
      <c r="E120" s="10">
        <v>672141</v>
      </c>
    </row>
    <row r="121" spans="1:16" x14ac:dyDescent="0.35">
      <c r="A121" t="s">
        <v>2</v>
      </c>
      <c r="B121" t="s">
        <v>25</v>
      </c>
      <c r="C121" t="s">
        <v>31</v>
      </c>
      <c r="D121" t="s">
        <v>39</v>
      </c>
      <c r="E121" s="10">
        <v>3360758</v>
      </c>
    </row>
    <row r="122" spans="1:16" x14ac:dyDescent="0.35">
      <c r="A122" t="s">
        <v>2</v>
      </c>
      <c r="B122" t="s">
        <v>26</v>
      </c>
      <c r="C122" t="s">
        <v>31</v>
      </c>
      <c r="D122" t="s">
        <v>34</v>
      </c>
      <c r="E122" s="10">
        <v>3893857</v>
      </c>
    </row>
    <row r="123" spans="1:16" x14ac:dyDescent="0.35">
      <c r="A123" t="s">
        <v>2</v>
      </c>
      <c r="B123" t="s">
        <v>26</v>
      </c>
      <c r="C123" t="s">
        <v>31</v>
      </c>
      <c r="D123" t="s">
        <v>35</v>
      </c>
      <c r="E123" s="10">
        <v>3155889</v>
      </c>
    </row>
    <row r="124" spans="1:16" x14ac:dyDescent="0.35">
      <c r="A124" t="s">
        <v>2</v>
      </c>
      <c r="B124" t="s">
        <v>26</v>
      </c>
      <c r="C124" t="s">
        <v>31</v>
      </c>
      <c r="D124" t="s">
        <v>36</v>
      </c>
      <c r="E124" s="10">
        <v>2576171</v>
      </c>
    </row>
    <row r="125" spans="1:16" x14ac:dyDescent="0.35">
      <c r="A125" t="s">
        <v>2</v>
      </c>
      <c r="B125" t="s">
        <v>26</v>
      </c>
      <c r="C125" t="s">
        <v>31</v>
      </c>
      <c r="D125" t="s">
        <v>37</v>
      </c>
      <c r="E125" s="10">
        <v>1093711</v>
      </c>
    </row>
    <row r="126" spans="1:16" x14ac:dyDescent="0.35">
      <c r="A126" t="s">
        <v>2</v>
      </c>
      <c r="B126" t="s">
        <v>26</v>
      </c>
      <c r="C126" t="s">
        <v>31</v>
      </c>
      <c r="D126" t="s">
        <v>38</v>
      </c>
      <c r="E126" s="10">
        <v>471881</v>
      </c>
    </row>
    <row r="127" spans="1:16" x14ac:dyDescent="0.35">
      <c r="A127" t="s">
        <v>2</v>
      </c>
      <c r="B127" t="s">
        <v>26</v>
      </c>
      <c r="C127" t="s">
        <v>31</v>
      </c>
      <c r="D127" t="s">
        <v>39</v>
      </c>
      <c r="E127" s="10">
        <v>1984646</v>
      </c>
    </row>
    <row r="128" spans="1:16" x14ac:dyDescent="0.35">
      <c r="A128" t="s">
        <v>2</v>
      </c>
      <c r="B128" t="s">
        <v>27</v>
      </c>
      <c r="C128" t="s">
        <v>31</v>
      </c>
      <c r="D128" t="s">
        <v>34</v>
      </c>
      <c r="E128" s="10">
        <v>6355662</v>
      </c>
    </row>
    <row r="129" spans="1:5" x14ac:dyDescent="0.35">
      <c r="A129" t="s">
        <v>2</v>
      </c>
      <c r="B129" t="s">
        <v>27</v>
      </c>
      <c r="C129" t="s">
        <v>31</v>
      </c>
      <c r="D129" t="s">
        <v>35</v>
      </c>
      <c r="E129" s="10">
        <v>2220442</v>
      </c>
    </row>
    <row r="130" spans="1:5" x14ac:dyDescent="0.35">
      <c r="A130" t="s">
        <v>2</v>
      </c>
      <c r="B130" t="s">
        <v>27</v>
      </c>
      <c r="C130" t="s">
        <v>31</v>
      </c>
      <c r="D130" t="s">
        <v>36</v>
      </c>
      <c r="E130" s="10">
        <v>1792778</v>
      </c>
    </row>
    <row r="131" spans="1:5" x14ac:dyDescent="0.35">
      <c r="A131" t="s">
        <v>2</v>
      </c>
      <c r="B131" t="s">
        <v>27</v>
      </c>
      <c r="C131" t="s">
        <v>31</v>
      </c>
      <c r="D131" t="s">
        <v>37</v>
      </c>
      <c r="E131" s="10">
        <v>866754</v>
      </c>
    </row>
    <row r="132" spans="1:5" x14ac:dyDescent="0.35">
      <c r="A132" t="s">
        <v>2</v>
      </c>
      <c r="B132" t="s">
        <v>27</v>
      </c>
      <c r="C132" t="s">
        <v>31</v>
      </c>
      <c r="D132" t="s">
        <v>38</v>
      </c>
      <c r="E132" s="10">
        <v>353140</v>
      </c>
    </row>
    <row r="133" spans="1:5" x14ac:dyDescent="0.35">
      <c r="A133" t="s">
        <v>2</v>
      </c>
      <c r="B133" t="s">
        <v>27</v>
      </c>
      <c r="C133" t="s">
        <v>31</v>
      </c>
      <c r="D133" t="s">
        <v>39</v>
      </c>
      <c r="E133" s="10">
        <v>1126190</v>
      </c>
    </row>
    <row r="134" spans="1:5" x14ac:dyDescent="0.35">
      <c r="A134" t="s">
        <v>2</v>
      </c>
      <c r="B134" t="s">
        <v>28</v>
      </c>
      <c r="C134" t="s">
        <v>31</v>
      </c>
      <c r="D134" t="s">
        <v>34</v>
      </c>
      <c r="E134" s="10">
        <v>5641548</v>
      </c>
    </row>
    <row r="135" spans="1:5" x14ac:dyDescent="0.35">
      <c r="A135" t="s">
        <v>2</v>
      </c>
      <c r="B135" t="s">
        <v>28</v>
      </c>
      <c r="C135" t="s">
        <v>31</v>
      </c>
      <c r="D135" t="s">
        <v>35</v>
      </c>
      <c r="E135" s="10">
        <v>843422</v>
      </c>
    </row>
    <row r="136" spans="1:5" x14ac:dyDescent="0.35">
      <c r="A136" t="s">
        <v>2</v>
      </c>
      <c r="B136" t="s">
        <v>28</v>
      </c>
      <c r="C136" t="s">
        <v>31</v>
      </c>
      <c r="D136" t="s">
        <v>36</v>
      </c>
      <c r="E136" s="10">
        <v>775882</v>
      </c>
    </row>
    <row r="137" spans="1:5" x14ac:dyDescent="0.35">
      <c r="A137" t="s">
        <v>2</v>
      </c>
      <c r="B137" t="s">
        <v>28</v>
      </c>
      <c r="C137" t="s">
        <v>31</v>
      </c>
      <c r="D137" t="s">
        <v>37</v>
      </c>
      <c r="E137" s="10">
        <v>387688</v>
      </c>
    </row>
    <row r="138" spans="1:5" x14ac:dyDescent="0.35">
      <c r="A138" t="s">
        <v>2</v>
      </c>
      <c r="B138" t="s">
        <v>28</v>
      </c>
      <c r="C138" t="s">
        <v>31</v>
      </c>
      <c r="D138" t="s">
        <v>38</v>
      </c>
      <c r="E138" s="10">
        <v>179537</v>
      </c>
    </row>
    <row r="139" spans="1:5" x14ac:dyDescent="0.35">
      <c r="A139" t="s">
        <v>2</v>
      </c>
      <c r="B139" t="s">
        <v>28</v>
      </c>
      <c r="C139" t="s">
        <v>31</v>
      </c>
      <c r="D139" t="s">
        <v>39</v>
      </c>
      <c r="E139" s="10">
        <v>583067</v>
      </c>
    </row>
    <row r="140" spans="1:5" x14ac:dyDescent="0.35">
      <c r="A140" t="s">
        <v>2</v>
      </c>
      <c r="B140" t="s">
        <v>29</v>
      </c>
      <c r="C140" t="s">
        <v>31</v>
      </c>
      <c r="D140" t="s">
        <v>34</v>
      </c>
      <c r="E140" s="10">
        <v>4002666</v>
      </c>
    </row>
    <row r="141" spans="1:5" x14ac:dyDescent="0.35">
      <c r="A141" t="s">
        <v>2</v>
      </c>
      <c r="B141" t="s">
        <v>29</v>
      </c>
      <c r="C141" t="s">
        <v>31</v>
      </c>
      <c r="D141" t="s">
        <v>35</v>
      </c>
      <c r="E141" s="10">
        <v>230602</v>
      </c>
    </row>
    <row r="142" spans="1:5" x14ac:dyDescent="0.35">
      <c r="A142" t="s">
        <v>2</v>
      </c>
      <c r="B142" t="s">
        <v>29</v>
      </c>
      <c r="C142" t="s">
        <v>31</v>
      </c>
      <c r="D142" t="s">
        <v>36</v>
      </c>
      <c r="E142" s="10">
        <v>121877</v>
      </c>
    </row>
    <row r="143" spans="1:5" x14ac:dyDescent="0.35">
      <c r="A143" t="s">
        <v>2</v>
      </c>
      <c r="B143" t="s">
        <v>29</v>
      </c>
      <c r="C143" t="s">
        <v>31</v>
      </c>
      <c r="D143" t="s">
        <v>37</v>
      </c>
      <c r="E143" s="10">
        <v>110672</v>
      </c>
    </row>
    <row r="144" spans="1:5" x14ac:dyDescent="0.35">
      <c r="A144" t="s">
        <v>2</v>
      </c>
      <c r="B144" t="s">
        <v>29</v>
      </c>
      <c r="C144" t="s">
        <v>31</v>
      </c>
      <c r="D144" t="s">
        <v>38</v>
      </c>
      <c r="E144" s="10">
        <v>60325</v>
      </c>
    </row>
    <row r="145" spans="1:5" x14ac:dyDescent="0.35">
      <c r="A145" t="s">
        <v>2</v>
      </c>
      <c r="B145" t="s">
        <v>29</v>
      </c>
      <c r="C145" t="s">
        <v>31</v>
      </c>
      <c r="D145" t="s">
        <v>39</v>
      </c>
      <c r="E145" s="10">
        <v>124427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48297-AD62-4486-B5A8-31C7EBE4A2EE}">
  <dimension ref="A1:F554"/>
  <sheetViews>
    <sheetView topLeftCell="A130" workbookViewId="0">
      <selection activeCell="D3" sqref="D3"/>
    </sheetView>
  </sheetViews>
  <sheetFormatPr defaultRowHeight="14.5" x14ac:dyDescent="0.35"/>
  <cols>
    <col min="1" max="1" width="23.7265625" customWidth="1"/>
    <col min="2" max="2" width="10.90625" customWidth="1"/>
    <col min="3" max="3" width="13.90625" customWidth="1"/>
    <col min="4" max="4" width="13" customWidth="1"/>
    <col min="5" max="5" width="22.54296875" customWidth="1"/>
    <col min="8" max="8" width="25.7265625" customWidth="1"/>
  </cols>
  <sheetData>
    <row r="1" spans="1:6" x14ac:dyDescent="0.35">
      <c r="A1" t="s">
        <v>594</v>
      </c>
      <c r="B1" t="s">
        <v>595</v>
      </c>
      <c r="C1" t="s">
        <v>606</v>
      </c>
      <c r="D1" t="s">
        <v>607</v>
      </c>
      <c r="E1" t="s">
        <v>727</v>
      </c>
      <c r="F1" t="s">
        <v>728</v>
      </c>
    </row>
    <row r="2" spans="1:6" ht="15.5" x14ac:dyDescent="0.35">
      <c r="A2" s="3" t="s">
        <v>41</v>
      </c>
      <c r="B2" s="3">
        <v>5.64</v>
      </c>
      <c r="C2" s="2">
        <v>80.680000000000007</v>
      </c>
      <c r="D2" s="2">
        <v>50.01</v>
      </c>
    </row>
    <row r="3" spans="1:6" ht="15.5" x14ac:dyDescent="0.35">
      <c r="A3" s="3" t="s">
        <v>48</v>
      </c>
      <c r="B3" s="3">
        <v>5.46</v>
      </c>
      <c r="C3" s="2">
        <v>74.28</v>
      </c>
      <c r="D3" s="2" t="s">
        <v>596</v>
      </c>
      <c r="E3" t="s">
        <v>48</v>
      </c>
      <c r="F3" t="s">
        <v>661</v>
      </c>
    </row>
    <row r="4" spans="1:6" ht="15.5" x14ac:dyDescent="0.35">
      <c r="A4" s="3" t="s">
        <v>53</v>
      </c>
      <c r="B4" s="3">
        <v>3.66</v>
      </c>
      <c r="C4" s="2">
        <v>75.66</v>
      </c>
      <c r="D4" s="2">
        <v>45.89</v>
      </c>
      <c r="E4" t="s">
        <v>53</v>
      </c>
      <c r="F4" t="s">
        <v>661</v>
      </c>
    </row>
    <row r="5" spans="1:6" ht="15.5" x14ac:dyDescent="0.35">
      <c r="A5" s="3" t="s">
        <v>49</v>
      </c>
      <c r="B5" s="3">
        <v>7.86</v>
      </c>
      <c r="C5" s="2">
        <v>79.239999999999995</v>
      </c>
      <c r="D5" s="2">
        <v>54.62</v>
      </c>
      <c r="E5" t="s">
        <v>49</v>
      </c>
      <c r="F5" t="s">
        <v>661</v>
      </c>
    </row>
    <row r="6" spans="1:6" ht="15.5" x14ac:dyDescent="0.35">
      <c r="A6" s="3" t="s">
        <v>57</v>
      </c>
      <c r="B6" s="3">
        <v>2.57</v>
      </c>
      <c r="C6" s="2">
        <v>85.51</v>
      </c>
      <c r="D6" s="2">
        <v>55.84</v>
      </c>
      <c r="E6" t="s">
        <v>57</v>
      </c>
      <c r="F6" t="s">
        <v>661</v>
      </c>
    </row>
    <row r="7" spans="1:6" ht="15.5" x14ac:dyDescent="0.35">
      <c r="A7" s="3" t="s">
        <v>44</v>
      </c>
      <c r="B7" s="3">
        <v>4.3899999999999997</v>
      </c>
      <c r="C7" s="2">
        <v>83.12</v>
      </c>
      <c r="D7" s="2">
        <v>35.64</v>
      </c>
      <c r="E7" t="s">
        <v>44</v>
      </c>
      <c r="F7" t="s">
        <v>661</v>
      </c>
    </row>
    <row r="8" spans="1:6" ht="15.5" x14ac:dyDescent="0.35">
      <c r="A8" s="3" t="s">
        <v>43</v>
      </c>
      <c r="B8" s="3">
        <v>6.55</v>
      </c>
      <c r="C8" s="2">
        <v>70.540000000000006</v>
      </c>
      <c r="D8" s="2">
        <v>44.68</v>
      </c>
      <c r="E8" t="s">
        <v>43</v>
      </c>
      <c r="F8" t="s">
        <v>661</v>
      </c>
    </row>
    <row r="9" spans="1:6" ht="15.5" x14ac:dyDescent="0.35">
      <c r="A9" s="3" t="s">
        <v>55</v>
      </c>
      <c r="B9" s="3">
        <v>6.78</v>
      </c>
      <c r="C9" s="2">
        <v>85.04</v>
      </c>
      <c r="D9" s="2">
        <v>54.24</v>
      </c>
      <c r="E9" t="s">
        <v>55</v>
      </c>
      <c r="F9" t="s">
        <v>661</v>
      </c>
    </row>
    <row r="10" spans="1:6" ht="15.5" x14ac:dyDescent="0.35">
      <c r="A10" s="3" t="s">
        <v>47</v>
      </c>
      <c r="B10" s="3">
        <v>4.03</v>
      </c>
      <c r="C10" s="2">
        <v>85.7</v>
      </c>
      <c r="D10" s="2">
        <v>69.33</v>
      </c>
      <c r="E10" t="s">
        <v>47</v>
      </c>
      <c r="F10" t="s">
        <v>661</v>
      </c>
    </row>
    <row r="11" spans="1:6" ht="15.5" x14ac:dyDescent="0.35">
      <c r="A11" s="3" t="s">
        <v>45</v>
      </c>
      <c r="B11" s="3">
        <v>4.72</v>
      </c>
      <c r="C11" s="2">
        <v>77.819999999999993</v>
      </c>
      <c r="D11" s="2">
        <v>63.82</v>
      </c>
      <c r="E11" t="s">
        <v>45</v>
      </c>
      <c r="F11" t="s">
        <v>661</v>
      </c>
    </row>
    <row r="12" spans="1:6" ht="15.5" x14ac:dyDescent="0.35">
      <c r="A12" s="3" t="s">
        <v>46</v>
      </c>
      <c r="B12" s="3">
        <v>7.74</v>
      </c>
      <c r="C12" s="2">
        <v>81.010000000000005</v>
      </c>
      <c r="D12" s="2">
        <v>41.37</v>
      </c>
      <c r="E12" t="s">
        <v>46</v>
      </c>
      <c r="F12" t="s">
        <v>661</v>
      </c>
    </row>
    <row r="13" spans="1:6" ht="15.5" x14ac:dyDescent="0.35">
      <c r="A13" s="3" t="s">
        <v>52</v>
      </c>
      <c r="B13" s="3">
        <v>6.88</v>
      </c>
      <c r="C13" s="2">
        <v>80.03</v>
      </c>
      <c r="D13" s="2">
        <v>39.39</v>
      </c>
      <c r="E13" t="s">
        <v>52</v>
      </c>
      <c r="F13" t="s">
        <v>661</v>
      </c>
    </row>
    <row r="14" spans="1:6" ht="15.5" x14ac:dyDescent="0.35">
      <c r="A14" s="3" t="s">
        <v>106</v>
      </c>
      <c r="B14" s="3">
        <v>4.71</v>
      </c>
      <c r="C14" s="2">
        <v>80.91</v>
      </c>
      <c r="D14" s="2">
        <v>58.08</v>
      </c>
      <c r="E14" t="s">
        <v>106</v>
      </c>
      <c r="F14" t="s">
        <v>664</v>
      </c>
    </row>
    <row r="15" spans="1:6" ht="15.5" x14ac:dyDescent="0.35">
      <c r="A15" s="3" t="s">
        <v>358</v>
      </c>
      <c r="B15" s="3">
        <v>2.08</v>
      </c>
      <c r="C15" s="2">
        <v>80.98</v>
      </c>
      <c r="D15" s="2">
        <v>76.72</v>
      </c>
      <c r="E15" t="s">
        <v>358</v>
      </c>
      <c r="F15" t="s">
        <v>665</v>
      </c>
    </row>
    <row r="16" spans="1:6" ht="15.5" x14ac:dyDescent="0.35">
      <c r="A16" s="3" t="s">
        <v>73</v>
      </c>
      <c r="B16" s="3">
        <v>5.46</v>
      </c>
      <c r="C16" s="2">
        <v>85.05</v>
      </c>
      <c r="D16" s="2">
        <v>52.98</v>
      </c>
      <c r="E16" t="s">
        <v>73</v>
      </c>
      <c r="F16" t="s">
        <v>666</v>
      </c>
    </row>
    <row r="17" spans="1:6" ht="15.5" x14ac:dyDescent="0.35">
      <c r="A17" s="3" t="s">
        <v>572</v>
      </c>
      <c r="B17" s="3">
        <v>2.0699999999999998</v>
      </c>
      <c r="C17" s="2">
        <v>78.42</v>
      </c>
      <c r="D17" s="2">
        <v>65.430000000000007</v>
      </c>
      <c r="E17" t="s">
        <v>572</v>
      </c>
      <c r="F17" t="s">
        <v>667</v>
      </c>
    </row>
    <row r="18" spans="1:6" ht="15.5" x14ac:dyDescent="0.35">
      <c r="A18" s="3" t="s">
        <v>333</v>
      </c>
      <c r="B18" s="3">
        <v>1.57</v>
      </c>
      <c r="C18" s="2">
        <v>81.56</v>
      </c>
      <c r="D18" s="2">
        <v>67.709999999999994</v>
      </c>
      <c r="E18" t="s">
        <v>333</v>
      </c>
      <c r="F18" t="s">
        <v>668</v>
      </c>
    </row>
    <row r="19" spans="1:6" ht="15.5" x14ac:dyDescent="0.35">
      <c r="A19" s="3" t="s">
        <v>415</v>
      </c>
      <c r="B19" s="3">
        <v>2.74</v>
      </c>
      <c r="C19" s="2">
        <v>83.98</v>
      </c>
      <c r="D19" s="2">
        <v>66.099999999999994</v>
      </c>
      <c r="E19" t="s">
        <v>415</v>
      </c>
      <c r="F19" t="s">
        <v>669</v>
      </c>
    </row>
    <row r="20" spans="1:6" ht="15.5" x14ac:dyDescent="0.35">
      <c r="A20" s="3" t="s">
        <v>330</v>
      </c>
      <c r="B20" s="3">
        <v>1.49</v>
      </c>
      <c r="C20" s="2">
        <v>83.84</v>
      </c>
      <c r="D20" s="2">
        <v>70.84</v>
      </c>
    </row>
    <row r="21" spans="1:6" ht="15.5" x14ac:dyDescent="0.35">
      <c r="A21" s="3" t="s">
        <v>216</v>
      </c>
      <c r="B21" s="3">
        <v>6.68</v>
      </c>
      <c r="C21" s="2">
        <v>83.07</v>
      </c>
      <c r="D21" s="2">
        <v>50.44</v>
      </c>
      <c r="E21" t="s">
        <v>216</v>
      </c>
      <c r="F21" t="s">
        <v>670</v>
      </c>
    </row>
    <row r="22" spans="1:6" ht="15.5" x14ac:dyDescent="0.35">
      <c r="A22" s="3" t="s">
        <v>229</v>
      </c>
      <c r="B22" s="3">
        <v>6.6</v>
      </c>
      <c r="C22" s="2">
        <v>86.74</v>
      </c>
      <c r="D22" s="2">
        <v>53.84</v>
      </c>
      <c r="E22" t="s">
        <v>229</v>
      </c>
      <c r="F22" t="s">
        <v>670</v>
      </c>
    </row>
    <row r="23" spans="1:6" ht="15.5" x14ac:dyDescent="0.35">
      <c r="A23" s="3" t="s">
        <v>453</v>
      </c>
      <c r="B23" s="3">
        <v>3.07</v>
      </c>
      <c r="C23" s="2">
        <v>89.45</v>
      </c>
      <c r="D23" s="2">
        <v>59.54</v>
      </c>
      <c r="E23" t="s">
        <v>453</v>
      </c>
      <c r="F23" t="s">
        <v>671</v>
      </c>
    </row>
    <row r="24" spans="1:6" ht="15.5" x14ac:dyDescent="0.35">
      <c r="A24" s="3" t="s">
        <v>452</v>
      </c>
      <c r="B24" s="3">
        <v>1.67</v>
      </c>
      <c r="C24" s="2">
        <v>84.88</v>
      </c>
      <c r="D24" s="2">
        <v>61.61</v>
      </c>
      <c r="E24" t="s">
        <v>452</v>
      </c>
      <c r="F24" t="s">
        <v>671</v>
      </c>
    </row>
    <row r="25" spans="1:6" ht="15.5" x14ac:dyDescent="0.35">
      <c r="A25" s="3" t="s">
        <v>462</v>
      </c>
      <c r="B25" s="3">
        <v>3.69</v>
      </c>
      <c r="C25" s="2">
        <v>81.64</v>
      </c>
      <c r="D25" s="2">
        <v>55.34</v>
      </c>
      <c r="E25" t="s">
        <v>462</v>
      </c>
      <c r="F25" t="s">
        <v>671</v>
      </c>
    </row>
    <row r="26" spans="1:6" ht="15.5" x14ac:dyDescent="0.35">
      <c r="A26" s="3" t="s">
        <v>190</v>
      </c>
      <c r="B26" s="3">
        <v>4.75</v>
      </c>
      <c r="C26" s="2">
        <v>84.59</v>
      </c>
      <c r="D26" s="2">
        <v>50.29</v>
      </c>
      <c r="E26" t="s">
        <v>190</v>
      </c>
      <c r="F26" t="s">
        <v>672</v>
      </c>
    </row>
    <row r="27" spans="1:6" ht="15.5" x14ac:dyDescent="0.35">
      <c r="A27" s="3" t="s">
        <v>192</v>
      </c>
      <c r="B27" s="3">
        <v>4.49</v>
      </c>
      <c r="C27" s="2">
        <v>87.07</v>
      </c>
      <c r="D27" s="2">
        <v>54.38</v>
      </c>
      <c r="E27" t="s">
        <v>192</v>
      </c>
      <c r="F27" t="s">
        <v>672</v>
      </c>
    </row>
    <row r="28" spans="1:6" ht="15.5" x14ac:dyDescent="0.35">
      <c r="A28" s="3" t="s">
        <v>194</v>
      </c>
      <c r="B28" s="3">
        <v>4.4800000000000004</v>
      </c>
      <c r="C28" s="2">
        <v>91.02</v>
      </c>
      <c r="D28" s="2">
        <v>51.33</v>
      </c>
      <c r="E28" t="s">
        <v>194</v>
      </c>
      <c r="F28" t="s">
        <v>672</v>
      </c>
    </row>
    <row r="29" spans="1:6" ht="15.5" x14ac:dyDescent="0.35">
      <c r="A29" s="3" t="s">
        <v>193</v>
      </c>
      <c r="B29" s="3">
        <v>4.21</v>
      </c>
      <c r="C29" s="2">
        <v>87.43</v>
      </c>
      <c r="D29" s="2">
        <v>51.9</v>
      </c>
      <c r="E29" t="s">
        <v>193</v>
      </c>
      <c r="F29" t="s">
        <v>672</v>
      </c>
    </row>
    <row r="30" spans="1:6" ht="15.5" x14ac:dyDescent="0.35">
      <c r="A30" s="3" t="s">
        <v>308</v>
      </c>
      <c r="B30" s="3">
        <v>5.31</v>
      </c>
      <c r="C30" s="2">
        <v>82.85</v>
      </c>
      <c r="D30" s="2">
        <v>55.6</v>
      </c>
      <c r="E30" t="s">
        <v>308</v>
      </c>
      <c r="F30" t="s">
        <v>673</v>
      </c>
    </row>
    <row r="31" spans="1:6" ht="15.5" x14ac:dyDescent="0.35">
      <c r="A31" s="3" t="s">
        <v>336</v>
      </c>
      <c r="B31" s="3">
        <v>0.73</v>
      </c>
      <c r="C31" s="2">
        <v>86.96</v>
      </c>
      <c r="D31" s="2">
        <v>76.48</v>
      </c>
      <c r="E31" t="s">
        <v>336</v>
      </c>
      <c r="F31" t="s">
        <v>668</v>
      </c>
    </row>
    <row r="32" spans="1:6" ht="15.5" x14ac:dyDescent="0.35">
      <c r="A32" s="3" t="s">
        <v>407</v>
      </c>
      <c r="B32" s="3">
        <v>2.76</v>
      </c>
      <c r="C32" s="2">
        <v>83.7</v>
      </c>
      <c r="D32" s="2">
        <v>55.62</v>
      </c>
      <c r="E32" t="s">
        <v>407</v>
      </c>
      <c r="F32" t="s">
        <v>669</v>
      </c>
    </row>
    <row r="33" spans="1:6" ht="15.5" x14ac:dyDescent="0.35">
      <c r="A33" s="3" t="s">
        <v>244</v>
      </c>
      <c r="B33" s="3">
        <v>5.39</v>
      </c>
      <c r="C33" s="2">
        <v>86.44</v>
      </c>
      <c r="D33" s="2">
        <v>61.1</v>
      </c>
      <c r="E33" t="s">
        <v>244</v>
      </c>
      <c r="F33" t="s">
        <v>674</v>
      </c>
    </row>
    <row r="34" spans="1:6" ht="15.5" x14ac:dyDescent="0.35">
      <c r="A34" s="3" t="s">
        <v>468</v>
      </c>
      <c r="B34" s="3">
        <v>3.74</v>
      </c>
      <c r="C34" s="2">
        <v>87.65</v>
      </c>
      <c r="D34" s="2">
        <v>65.27</v>
      </c>
      <c r="E34" t="s">
        <v>468</v>
      </c>
      <c r="F34" t="s">
        <v>675</v>
      </c>
    </row>
    <row r="35" spans="1:6" ht="15.5" x14ac:dyDescent="0.35">
      <c r="A35" s="3" t="s">
        <v>321</v>
      </c>
      <c r="B35" s="3">
        <v>6.69</v>
      </c>
      <c r="C35" s="2">
        <v>81.96</v>
      </c>
      <c r="D35" s="2">
        <v>46.87</v>
      </c>
    </row>
    <row r="36" spans="1:6" ht="15.5" x14ac:dyDescent="0.35">
      <c r="A36" s="3" t="s">
        <v>278</v>
      </c>
      <c r="B36" s="3">
        <v>3.57</v>
      </c>
      <c r="C36" s="2">
        <v>84.39</v>
      </c>
      <c r="D36" s="2">
        <v>65.53</v>
      </c>
      <c r="E36" t="s">
        <v>278</v>
      </c>
      <c r="F36" t="s">
        <v>676</v>
      </c>
    </row>
    <row r="37" spans="1:6" ht="15.5" x14ac:dyDescent="0.35">
      <c r="A37" s="3" t="s">
        <v>151</v>
      </c>
      <c r="B37" s="3">
        <v>2.68</v>
      </c>
      <c r="C37" s="2">
        <v>84.97</v>
      </c>
      <c r="D37" s="2">
        <v>44.42</v>
      </c>
      <c r="E37" t="s">
        <v>677</v>
      </c>
      <c r="F37" t="s">
        <v>678</v>
      </c>
    </row>
    <row r="38" spans="1:6" ht="15.5" x14ac:dyDescent="0.35">
      <c r="A38" s="3" t="s">
        <v>242</v>
      </c>
      <c r="B38" s="3">
        <v>6.26</v>
      </c>
      <c r="C38" s="2">
        <v>82.95</v>
      </c>
      <c r="D38" s="2">
        <v>56.79</v>
      </c>
      <c r="E38" t="s">
        <v>242</v>
      </c>
      <c r="F38" t="s">
        <v>674</v>
      </c>
    </row>
    <row r="39" spans="1:6" ht="15.5" x14ac:dyDescent="0.35">
      <c r="A39" s="3" t="s">
        <v>292</v>
      </c>
      <c r="B39" s="3">
        <v>3.94</v>
      </c>
      <c r="C39" s="2">
        <v>86.41</v>
      </c>
      <c r="D39" s="2">
        <v>61.23</v>
      </c>
      <c r="E39" t="s">
        <v>292</v>
      </c>
      <c r="F39" t="s">
        <v>673</v>
      </c>
    </row>
    <row r="40" spans="1:6" ht="15.5" x14ac:dyDescent="0.35">
      <c r="A40" s="3" t="s">
        <v>408</v>
      </c>
      <c r="B40" s="3">
        <v>3.23</v>
      </c>
      <c r="C40" s="2">
        <v>86.49</v>
      </c>
      <c r="D40" s="2">
        <v>57.18</v>
      </c>
      <c r="E40" t="s">
        <v>408</v>
      </c>
      <c r="F40" t="s">
        <v>669</v>
      </c>
    </row>
    <row r="41" spans="1:6" ht="15.5" x14ac:dyDescent="0.35">
      <c r="A41" s="3" t="s">
        <v>393</v>
      </c>
      <c r="B41" s="3">
        <v>4.3</v>
      </c>
      <c r="C41" s="2">
        <v>82.03</v>
      </c>
      <c r="D41" s="2">
        <v>48.32</v>
      </c>
      <c r="E41" t="s">
        <v>393</v>
      </c>
      <c r="F41" t="s">
        <v>679</v>
      </c>
    </row>
    <row r="42" spans="1:6" ht="15.5" x14ac:dyDescent="0.35">
      <c r="A42" s="3" t="s">
        <v>401</v>
      </c>
      <c r="B42" s="3">
        <v>3.15</v>
      </c>
      <c r="C42" s="2">
        <v>84.96</v>
      </c>
      <c r="D42" s="2">
        <v>69.2</v>
      </c>
      <c r="E42" t="s">
        <v>401</v>
      </c>
      <c r="F42" t="s">
        <v>679</v>
      </c>
    </row>
    <row r="43" spans="1:6" ht="15.5" x14ac:dyDescent="0.35">
      <c r="A43" s="3" t="s">
        <v>394</v>
      </c>
      <c r="B43" s="3">
        <v>4.54</v>
      </c>
      <c r="C43" s="2">
        <v>86.41</v>
      </c>
      <c r="D43" s="2">
        <v>59.61</v>
      </c>
      <c r="E43" t="s">
        <v>394</v>
      </c>
      <c r="F43" t="s">
        <v>679</v>
      </c>
    </row>
    <row r="44" spans="1:6" ht="15.5" x14ac:dyDescent="0.35">
      <c r="A44" s="3" t="s">
        <v>475</v>
      </c>
      <c r="B44" s="3">
        <v>5.07</v>
      </c>
      <c r="C44" s="2">
        <v>82.14</v>
      </c>
      <c r="D44" s="2">
        <v>46.79</v>
      </c>
      <c r="E44" t="s">
        <v>475</v>
      </c>
      <c r="F44" t="s">
        <v>675</v>
      </c>
    </row>
    <row r="45" spans="1:6" ht="15.5" x14ac:dyDescent="0.35">
      <c r="A45" s="3" t="s">
        <v>265</v>
      </c>
      <c r="B45" s="3">
        <v>5.07</v>
      </c>
      <c r="C45" s="2">
        <v>89.61</v>
      </c>
      <c r="D45" s="2">
        <v>65.95</v>
      </c>
      <c r="E45" t="s">
        <v>265</v>
      </c>
      <c r="F45" t="s">
        <v>674</v>
      </c>
    </row>
    <row r="46" spans="1:6" ht="15.5" x14ac:dyDescent="0.35">
      <c r="A46" s="3" t="s">
        <v>136</v>
      </c>
      <c r="B46" s="3">
        <v>4.21</v>
      </c>
      <c r="C46" s="2">
        <v>84.3</v>
      </c>
      <c r="D46" s="2">
        <v>47.94</v>
      </c>
      <c r="E46" t="s">
        <v>680</v>
      </c>
      <c r="F46" t="s">
        <v>681</v>
      </c>
    </row>
    <row r="47" spans="1:6" ht="15.5" x14ac:dyDescent="0.35">
      <c r="A47" s="3" t="s">
        <v>84</v>
      </c>
      <c r="B47" s="3">
        <v>5.44</v>
      </c>
      <c r="C47" s="2">
        <v>85.13</v>
      </c>
      <c r="D47" s="2">
        <v>55.57</v>
      </c>
      <c r="E47" t="s">
        <v>84</v>
      </c>
      <c r="F47" t="s">
        <v>666</v>
      </c>
    </row>
    <row r="48" spans="1:6" ht="15.5" x14ac:dyDescent="0.35">
      <c r="A48" s="3" t="s">
        <v>228</v>
      </c>
      <c r="B48" s="3">
        <v>8.7799999999999994</v>
      </c>
      <c r="C48" s="2">
        <v>85.4</v>
      </c>
      <c r="D48" s="2">
        <v>42.93</v>
      </c>
      <c r="E48" t="s">
        <v>228</v>
      </c>
      <c r="F48" t="s">
        <v>670</v>
      </c>
    </row>
    <row r="49" spans="1:6" ht="15.5" x14ac:dyDescent="0.35">
      <c r="A49" s="3" t="s">
        <v>191</v>
      </c>
      <c r="B49" s="3">
        <v>3.64</v>
      </c>
      <c r="C49" s="2">
        <v>85.09</v>
      </c>
      <c r="D49" s="2">
        <v>52.76</v>
      </c>
      <c r="E49" t="s">
        <v>191</v>
      </c>
      <c r="F49" t="s">
        <v>672</v>
      </c>
    </row>
    <row r="50" spans="1:6" ht="15.5" x14ac:dyDescent="0.35">
      <c r="A50" s="3" t="s">
        <v>195</v>
      </c>
      <c r="B50" s="3">
        <v>3.05</v>
      </c>
      <c r="C50" s="2">
        <v>86.98</v>
      </c>
      <c r="D50" s="2">
        <v>49.97</v>
      </c>
      <c r="E50" t="s">
        <v>195</v>
      </c>
      <c r="F50" t="s">
        <v>672</v>
      </c>
    </row>
    <row r="51" spans="1:6" ht="15.5" x14ac:dyDescent="0.35">
      <c r="A51" s="3" t="s">
        <v>357</v>
      </c>
      <c r="B51" s="3">
        <v>5.2</v>
      </c>
      <c r="C51" s="2">
        <v>86.69</v>
      </c>
      <c r="D51" s="2">
        <v>66.819999999999993</v>
      </c>
      <c r="E51" t="s">
        <v>357</v>
      </c>
      <c r="F51" t="s">
        <v>665</v>
      </c>
    </row>
    <row r="52" spans="1:6" ht="15.5" x14ac:dyDescent="0.35">
      <c r="A52" s="3" t="s">
        <v>58</v>
      </c>
      <c r="B52" s="3">
        <v>2.1</v>
      </c>
      <c r="C52" s="2">
        <v>88.73</v>
      </c>
      <c r="D52" s="2">
        <v>77.290000000000006</v>
      </c>
      <c r="E52" t="s">
        <v>58</v>
      </c>
      <c r="F52" t="s">
        <v>661</v>
      </c>
    </row>
    <row r="53" spans="1:6" ht="15.5" x14ac:dyDescent="0.35">
      <c r="A53" s="3" t="s">
        <v>127</v>
      </c>
      <c r="B53" s="3">
        <v>5.32</v>
      </c>
      <c r="C53" s="2">
        <v>84.68</v>
      </c>
      <c r="D53" s="2">
        <v>50.12</v>
      </c>
      <c r="E53" t="s">
        <v>127</v>
      </c>
      <c r="F53" t="s">
        <v>682</v>
      </c>
    </row>
    <row r="54" spans="1:6" ht="15.5" x14ac:dyDescent="0.35">
      <c r="A54" s="3" t="s">
        <v>376</v>
      </c>
      <c r="B54" s="3">
        <v>2.95</v>
      </c>
      <c r="C54" s="2">
        <v>89.05</v>
      </c>
      <c r="D54" s="2">
        <v>66.12</v>
      </c>
      <c r="E54" t="s">
        <v>376</v>
      </c>
      <c r="F54" t="s">
        <v>683</v>
      </c>
    </row>
    <row r="55" spans="1:6" ht="15.5" x14ac:dyDescent="0.35">
      <c r="A55" s="3" t="s">
        <v>162</v>
      </c>
      <c r="B55" s="3">
        <v>3.41</v>
      </c>
      <c r="C55" s="2">
        <v>84.84</v>
      </c>
      <c r="D55" s="2">
        <v>58.17</v>
      </c>
    </row>
    <row r="56" spans="1:6" ht="15.5" x14ac:dyDescent="0.35">
      <c r="A56" s="3" t="s">
        <v>163</v>
      </c>
      <c r="B56" s="3">
        <v>2.86</v>
      </c>
      <c r="C56" s="2">
        <v>82.73</v>
      </c>
      <c r="D56" s="2">
        <v>62.93</v>
      </c>
      <c r="E56" t="s">
        <v>163</v>
      </c>
      <c r="F56" t="s">
        <v>684</v>
      </c>
    </row>
    <row r="57" spans="1:6" ht="15.5" x14ac:dyDescent="0.35">
      <c r="A57" s="3" t="s">
        <v>171</v>
      </c>
      <c r="B57" s="3">
        <v>3.4</v>
      </c>
      <c r="C57" s="2">
        <v>87.99</v>
      </c>
      <c r="D57" s="2">
        <v>47.63</v>
      </c>
      <c r="E57" t="s">
        <v>171</v>
      </c>
      <c r="F57" t="s">
        <v>684</v>
      </c>
    </row>
    <row r="58" spans="1:6" ht="15.5" x14ac:dyDescent="0.35">
      <c r="A58" s="3" t="s">
        <v>165</v>
      </c>
      <c r="B58" s="3">
        <v>3.75</v>
      </c>
      <c r="C58" s="2">
        <v>85.29</v>
      </c>
      <c r="D58" s="2">
        <v>53.26</v>
      </c>
      <c r="E58" t="s">
        <v>165</v>
      </c>
      <c r="F58" t="s">
        <v>684</v>
      </c>
    </row>
    <row r="59" spans="1:6" ht="15.5" x14ac:dyDescent="0.35">
      <c r="A59" s="3" t="s">
        <v>423</v>
      </c>
      <c r="B59" s="3">
        <v>4.4000000000000004</v>
      </c>
      <c r="C59" s="2">
        <v>85.51</v>
      </c>
      <c r="D59" s="2">
        <v>56.66</v>
      </c>
      <c r="E59" t="s">
        <v>423</v>
      </c>
      <c r="F59" t="s">
        <v>685</v>
      </c>
    </row>
    <row r="60" spans="1:6" ht="15.5" x14ac:dyDescent="0.35">
      <c r="A60" s="3" t="s">
        <v>566</v>
      </c>
      <c r="B60" s="3">
        <v>6.74</v>
      </c>
      <c r="C60" s="2">
        <v>81.3</v>
      </c>
      <c r="D60" s="2">
        <v>66.05</v>
      </c>
      <c r="E60" t="s">
        <v>566</v>
      </c>
      <c r="F60" t="s">
        <v>686</v>
      </c>
    </row>
    <row r="61" spans="1:6" ht="15.5" x14ac:dyDescent="0.35">
      <c r="A61" s="3" t="s">
        <v>346</v>
      </c>
      <c r="B61" s="3">
        <v>2.13</v>
      </c>
      <c r="C61" s="2">
        <v>85.48</v>
      </c>
      <c r="D61" s="2">
        <v>66.209999999999994</v>
      </c>
      <c r="E61" t="s">
        <v>346</v>
      </c>
      <c r="F61" t="s">
        <v>687</v>
      </c>
    </row>
    <row r="62" spans="1:6" ht="15.5" x14ac:dyDescent="0.35">
      <c r="A62" s="3" t="s">
        <v>199</v>
      </c>
      <c r="B62" s="3">
        <v>4.8099999999999996</v>
      </c>
      <c r="C62" s="2">
        <v>84.01</v>
      </c>
      <c r="D62" s="2">
        <v>50.62</v>
      </c>
      <c r="E62" t="s">
        <v>199</v>
      </c>
      <c r="F62" t="s">
        <v>688</v>
      </c>
    </row>
    <row r="63" spans="1:6" ht="15.5" x14ac:dyDescent="0.35">
      <c r="A63" s="3" t="s">
        <v>51</v>
      </c>
      <c r="B63" s="3">
        <v>3.82</v>
      </c>
      <c r="C63" s="2" t="s">
        <v>597</v>
      </c>
      <c r="D63" s="2">
        <v>53.61</v>
      </c>
      <c r="E63" t="s">
        <v>51</v>
      </c>
      <c r="F63" t="s">
        <v>661</v>
      </c>
    </row>
    <row r="64" spans="1:6" ht="15.5" x14ac:dyDescent="0.35">
      <c r="A64" s="3" t="s">
        <v>287</v>
      </c>
      <c r="B64" s="3">
        <v>4.49</v>
      </c>
      <c r="C64" s="2">
        <v>86.12</v>
      </c>
      <c r="D64" s="2">
        <v>65.5</v>
      </c>
      <c r="E64" t="s">
        <v>287</v>
      </c>
      <c r="F64" t="s">
        <v>673</v>
      </c>
    </row>
    <row r="65" spans="1:6" ht="15.5" x14ac:dyDescent="0.35">
      <c r="A65" s="3" t="s">
        <v>256</v>
      </c>
      <c r="B65" s="3">
        <v>3.61</v>
      </c>
      <c r="C65" s="2">
        <v>87.52</v>
      </c>
      <c r="D65" s="2">
        <v>67.849999999999994</v>
      </c>
      <c r="E65" t="s">
        <v>256</v>
      </c>
      <c r="F65" t="s">
        <v>674</v>
      </c>
    </row>
    <row r="66" spans="1:6" ht="15.5" x14ac:dyDescent="0.35">
      <c r="A66" s="3" t="s">
        <v>509</v>
      </c>
      <c r="B66" s="3">
        <v>3.09</v>
      </c>
      <c r="C66" s="2">
        <v>88.48</v>
      </c>
      <c r="D66" s="2">
        <v>60.12</v>
      </c>
      <c r="E66" t="s">
        <v>509</v>
      </c>
      <c r="F66" t="s">
        <v>510</v>
      </c>
    </row>
    <row r="67" spans="1:6" ht="15.5" x14ac:dyDescent="0.35">
      <c r="A67" s="3" t="s">
        <v>213</v>
      </c>
      <c r="B67" s="3">
        <v>7.69</v>
      </c>
      <c r="C67" s="2">
        <v>86.12</v>
      </c>
      <c r="D67" s="2">
        <v>42.13</v>
      </c>
      <c r="E67" t="s">
        <v>213</v>
      </c>
      <c r="F67" t="s">
        <v>670</v>
      </c>
    </row>
    <row r="68" spans="1:6" ht="15.5" x14ac:dyDescent="0.35">
      <c r="A68" s="3" t="s">
        <v>304</v>
      </c>
      <c r="B68" s="3">
        <v>3.9</v>
      </c>
      <c r="C68" s="2">
        <v>88.28</v>
      </c>
      <c r="D68" s="2" t="s">
        <v>599</v>
      </c>
      <c r="E68" t="s">
        <v>304</v>
      </c>
      <c r="F68" t="s">
        <v>673</v>
      </c>
    </row>
    <row r="69" spans="1:6" ht="15.5" x14ac:dyDescent="0.35">
      <c r="A69" s="3" t="s">
        <v>436</v>
      </c>
      <c r="B69" s="3">
        <v>4.97</v>
      </c>
      <c r="C69" s="2">
        <v>87.6</v>
      </c>
      <c r="D69" s="2">
        <v>54.19</v>
      </c>
      <c r="E69" t="s">
        <v>436</v>
      </c>
      <c r="F69" t="s">
        <v>689</v>
      </c>
    </row>
    <row r="70" spans="1:6" ht="15.5" x14ac:dyDescent="0.35">
      <c r="A70" s="3" t="s">
        <v>445</v>
      </c>
      <c r="B70" s="3">
        <v>2.91</v>
      </c>
      <c r="C70" s="2">
        <v>88.5</v>
      </c>
      <c r="D70" s="2">
        <v>48.74</v>
      </c>
      <c r="E70" t="s">
        <v>445</v>
      </c>
      <c r="F70" t="s">
        <v>689</v>
      </c>
    </row>
    <row r="71" spans="1:6" ht="15.5" x14ac:dyDescent="0.35">
      <c r="A71" s="3" t="s">
        <v>446</v>
      </c>
      <c r="B71" s="3">
        <v>5.28</v>
      </c>
      <c r="C71" s="2">
        <v>84.94</v>
      </c>
      <c r="D71" s="2">
        <v>33.57</v>
      </c>
      <c r="E71" t="s">
        <v>446</v>
      </c>
      <c r="F71" t="s">
        <v>689</v>
      </c>
    </row>
    <row r="72" spans="1:6" ht="15.5" x14ac:dyDescent="0.35">
      <c r="A72" s="3" t="s">
        <v>442</v>
      </c>
      <c r="B72" s="3">
        <v>4.07</v>
      </c>
      <c r="C72" s="2">
        <v>87.14</v>
      </c>
      <c r="D72" s="2">
        <v>56.62</v>
      </c>
      <c r="E72" t="s">
        <v>442</v>
      </c>
      <c r="F72" t="s">
        <v>689</v>
      </c>
    </row>
    <row r="73" spans="1:6" ht="15.5" x14ac:dyDescent="0.35">
      <c r="A73" s="3" t="s">
        <v>496</v>
      </c>
      <c r="B73" s="3">
        <v>2.52</v>
      </c>
      <c r="C73" s="2">
        <v>86.25</v>
      </c>
      <c r="D73" s="2">
        <v>56.51</v>
      </c>
      <c r="E73" t="s">
        <v>496</v>
      </c>
      <c r="F73" t="s">
        <v>690</v>
      </c>
    </row>
    <row r="74" spans="1:6" ht="15.5" x14ac:dyDescent="0.35">
      <c r="A74" s="3" t="s">
        <v>293</v>
      </c>
      <c r="B74" s="3">
        <v>2.5499999999999998</v>
      </c>
      <c r="C74" s="2">
        <v>89.22</v>
      </c>
      <c r="D74" s="2">
        <v>65.84</v>
      </c>
      <c r="E74" t="s">
        <v>293</v>
      </c>
      <c r="F74" t="s">
        <v>673</v>
      </c>
    </row>
    <row r="75" spans="1:6" ht="15.5" x14ac:dyDescent="0.35">
      <c r="A75" s="3" t="s">
        <v>476</v>
      </c>
      <c r="B75" s="3">
        <v>2.75</v>
      </c>
      <c r="C75" s="2" t="s">
        <v>601</v>
      </c>
      <c r="D75" s="2">
        <v>46.99</v>
      </c>
      <c r="E75" t="s">
        <v>476</v>
      </c>
      <c r="F75" t="s">
        <v>675</v>
      </c>
    </row>
    <row r="76" spans="1:6" ht="15.5" x14ac:dyDescent="0.35">
      <c r="A76" s="3" t="s">
        <v>512</v>
      </c>
      <c r="B76" s="3">
        <v>4.0199999999999996</v>
      </c>
      <c r="C76" s="2">
        <v>85.78</v>
      </c>
      <c r="D76" s="2">
        <v>48.2</v>
      </c>
      <c r="E76" t="s">
        <v>512</v>
      </c>
      <c r="F76" t="s">
        <v>510</v>
      </c>
    </row>
    <row r="77" spans="1:6" ht="15.5" x14ac:dyDescent="0.35">
      <c r="A77" s="3" t="s">
        <v>570</v>
      </c>
      <c r="B77" s="3">
        <v>3.66</v>
      </c>
      <c r="C77" s="2">
        <v>78.87</v>
      </c>
      <c r="D77" s="2">
        <v>51.09</v>
      </c>
      <c r="E77" t="s">
        <v>570</v>
      </c>
      <c r="F77" t="s">
        <v>667</v>
      </c>
    </row>
    <row r="78" spans="1:6" ht="15.5" x14ac:dyDescent="0.35">
      <c r="A78" s="3" t="s">
        <v>249</v>
      </c>
      <c r="B78" s="3">
        <v>2.97</v>
      </c>
      <c r="C78" s="2">
        <v>87.96</v>
      </c>
      <c r="D78" s="2">
        <v>66.37</v>
      </c>
      <c r="E78" t="s">
        <v>249</v>
      </c>
      <c r="F78" t="s">
        <v>674</v>
      </c>
    </row>
    <row r="79" spans="1:6" ht="15.5" x14ac:dyDescent="0.35">
      <c r="A79" s="3" t="s">
        <v>269</v>
      </c>
      <c r="B79" s="3">
        <v>8.07</v>
      </c>
      <c r="C79" s="2">
        <v>85.95</v>
      </c>
      <c r="D79" s="2">
        <v>57.54</v>
      </c>
      <c r="E79" t="s">
        <v>269</v>
      </c>
      <c r="F79" t="s">
        <v>674</v>
      </c>
    </row>
    <row r="80" spans="1:6" ht="15.5" x14ac:dyDescent="0.35">
      <c r="A80" s="3" t="s">
        <v>338</v>
      </c>
      <c r="B80" s="3">
        <v>1.51</v>
      </c>
      <c r="C80" s="2">
        <v>86.57</v>
      </c>
      <c r="D80" s="2">
        <v>73.06</v>
      </c>
      <c r="E80" t="s">
        <v>338</v>
      </c>
      <c r="F80" t="s">
        <v>668</v>
      </c>
    </row>
    <row r="81" spans="1:6" ht="15.5" x14ac:dyDescent="0.35">
      <c r="A81" s="3" t="s">
        <v>467</v>
      </c>
      <c r="B81" s="3">
        <v>2.12</v>
      </c>
      <c r="C81" s="2">
        <v>87.28</v>
      </c>
      <c r="D81" s="2">
        <v>63.86</v>
      </c>
      <c r="E81" t="s">
        <v>467</v>
      </c>
      <c r="F81" t="s">
        <v>675</v>
      </c>
    </row>
    <row r="82" spans="1:6" ht="15.5" x14ac:dyDescent="0.35">
      <c r="A82" s="3" t="s">
        <v>431</v>
      </c>
      <c r="B82" s="3">
        <v>4.1399999999999997</v>
      </c>
      <c r="C82" s="2">
        <v>86.78</v>
      </c>
      <c r="D82" s="2">
        <v>57.08</v>
      </c>
      <c r="E82" t="s">
        <v>431</v>
      </c>
      <c r="F82" t="s">
        <v>691</v>
      </c>
    </row>
    <row r="83" spans="1:6" ht="15.5" x14ac:dyDescent="0.35">
      <c r="A83" s="3" t="s">
        <v>141</v>
      </c>
      <c r="B83" s="3">
        <v>4.33</v>
      </c>
      <c r="C83" s="2">
        <v>87.68</v>
      </c>
      <c r="D83" s="2">
        <v>51.7</v>
      </c>
      <c r="E83" t="s">
        <v>141</v>
      </c>
      <c r="F83" t="s">
        <v>681</v>
      </c>
    </row>
    <row r="84" spans="1:6" ht="15.5" x14ac:dyDescent="0.35">
      <c r="A84" s="3" t="s">
        <v>458</v>
      </c>
      <c r="B84" s="3">
        <v>3.11</v>
      </c>
      <c r="C84" s="2">
        <v>87.34</v>
      </c>
      <c r="D84" s="2">
        <v>56.55</v>
      </c>
      <c r="E84" t="s">
        <v>458</v>
      </c>
      <c r="F84" t="s">
        <v>671</v>
      </c>
    </row>
    <row r="85" spans="1:6" ht="15.5" x14ac:dyDescent="0.35">
      <c r="A85" s="3" t="s">
        <v>526</v>
      </c>
      <c r="B85" s="3">
        <v>4.66</v>
      </c>
      <c r="C85" s="2">
        <v>89.29</v>
      </c>
      <c r="D85" s="2">
        <v>55.58</v>
      </c>
      <c r="E85" t="s">
        <v>526</v>
      </c>
      <c r="F85" t="s">
        <v>692</v>
      </c>
    </row>
    <row r="86" spans="1:6" ht="15.5" x14ac:dyDescent="0.35">
      <c r="A86" s="3" t="s">
        <v>531</v>
      </c>
      <c r="B86" s="3">
        <v>1.29</v>
      </c>
      <c r="C86" s="2">
        <v>82.95</v>
      </c>
      <c r="D86" s="2">
        <v>61.2</v>
      </c>
      <c r="E86" t="s">
        <v>531</v>
      </c>
      <c r="F86" t="s">
        <v>692</v>
      </c>
    </row>
    <row r="87" spans="1:6" ht="15.5" x14ac:dyDescent="0.35">
      <c r="A87" s="3" t="s">
        <v>491</v>
      </c>
      <c r="B87" s="3">
        <v>3.3</v>
      </c>
      <c r="C87" s="2">
        <v>76.62</v>
      </c>
      <c r="D87" s="2">
        <v>48.19</v>
      </c>
      <c r="E87" t="s">
        <v>491</v>
      </c>
      <c r="F87" t="s">
        <v>690</v>
      </c>
    </row>
    <row r="88" spans="1:6" ht="15.5" x14ac:dyDescent="0.35">
      <c r="A88" s="3" t="s">
        <v>505</v>
      </c>
      <c r="B88" s="3">
        <v>2.92</v>
      </c>
      <c r="C88" s="2">
        <v>80.59</v>
      </c>
      <c r="D88" s="2">
        <v>59.81</v>
      </c>
      <c r="E88" t="s">
        <v>505</v>
      </c>
      <c r="F88" t="s">
        <v>690</v>
      </c>
    </row>
    <row r="89" spans="1:6" ht="15.5" x14ac:dyDescent="0.35">
      <c r="A89" s="3" t="s">
        <v>504</v>
      </c>
      <c r="B89" s="3">
        <v>3.16</v>
      </c>
      <c r="C89" s="2" t="s">
        <v>602</v>
      </c>
      <c r="D89" s="2">
        <v>58.57</v>
      </c>
      <c r="E89" t="s">
        <v>504</v>
      </c>
      <c r="F89" t="s">
        <v>690</v>
      </c>
    </row>
    <row r="90" spans="1:6" ht="15.5" x14ac:dyDescent="0.35">
      <c r="A90" s="3" t="s">
        <v>499</v>
      </c>
      <c r="B90" s="3">
        <v>1.98</v>
      </c>
      <c r="C90" s="2">
        <v>88.93</v>
      </c>
      <c r="D90" s="2">
        <v>74.87</v>
      </c>
      <c r="E90" t="s">
        <v>499</v>
      </c>
      <c r="F90" t="s">
        <v>690</v>
      </c>
    </row>
    <row r="91" spans="1:6" ht="15.5" x14ac:dyDescent="0.35">
      <c r="A91" s="3" t="s">
        <v>219</v>
      </c>
      <c r="B91" s="3">
        <v>4.08</v>
      </c>
      <c r="C91" s="2">
        <v>83.31</v>
      </c>
      <c r="D91" s="2">
        <v>49.24</v>
      </c>
      <c r="E91" t="s">
        <v>219</v>
      </c>
      <c r="F91" t="s">
        <v>670</v>
      </c>
    </row>
    <row r="92" spans="1:6" ht="15.5" x14ac:dyDescent="0.35">
      <c r="A92" s="3" t="s">
        <v>215</v>
      </c>
      <c r="B92" s="3">
        <v>6.17</v>
      </c>
      <c r="C92" s="2">
        <v>86.16</v>
      </c>
      <c r="D92" s="2">
        <v>50.8</v>
      </c>
      <c r="E92" t="s">
        <v>215</v>
      </c>
      <c r="F92" t="s">
        <v>670</v>
      </c>
    </row>
    <row r="93" spans="1:6" ht="15.5" x14ac:dyDescent="0.35">
      <c r="A93" s="3" t="s">
        <v>241</v>
      </c>
      <c r="B93" s="3">
        <v>7.4</v>
      </c>
      <c r="C93" s="2">
        <v>83.27</v>
      </c>
      <c r="D93" s="2">
        <v>50.02</v>
      </c>
      <c r="E93" t="s">
        <v>241</v>
      </c>
      <c r="F93" t="s">
        <v>674</v>
      </c>
    </row>
    <row r="94" spans="1:6" ht="15.5" x14ac:dyDescent="0.35">
      <c r="A94" s="3" t="s">
        <v>221</v>
      </c>
      <c r="B94" s="3">
        <v>6.42</v>
      </c>
      <c r="C94" s="2">
        <v>83.44</v>
      </c>
      <c r="D94" s="2">
        <v>54.9</v>
      </c>
      <c r="E94" t="s">
        <v>221</v>
      </c>
      <c r="F94" t="s">
        <v>670</v>
      </c>
    </row>
    <row r="95" spans="1:6" ht="15.5" x14ac:dyDescent="0.35">
      <c r="A95" s="3" t="s">
        <v>276</v>
      </c>
      <c r="B95" s="3">
        <v>3.46</v>
      </c>
      <c r="C95" s="2">
        <v>83.9</v>
      </c>
      <c r="D95" s="2">
        <v>65.91</v>
      </c>
    </row>
    <row r="96" spans="1:6" ht="15.5" x14ac:dyDescent="0.35">
      <c r="A96" s="3" t="s">
        <v>75</v>
      </c>
      <c r="B96" s="3">
        <v>1.21</v>
      </c>
      <c r="C96" s="2">
        <v>87.85</v>
      </c>
      <c r="D96" s="2">
        <v>78.66</v>
      </c>
      <c r="E96" t="s">
        <v>75</v>
      </c>
      <c r="F96" t="s">
        <v>666</v>
      </c>
    </row>
    <row r="97" spans="1:6" ht="15.5" x14ac:dyDescent="0.35">
      <c r="A97" s="3" t="s">
        <v>588</v>
      </c>
      <c r="B97" s="3">
        <v>3.59</v>
      </c>
      <c r="C97" s="2">
        <v>71.87</v>
      </c>
      <c r="D97" s="2">
        <v>68.39</v>
      </c>
      <c r="E97" t="s">
        <v>588</v>
      </c>
      <c r="F97" t="s">
        <v>693</v>
      </c>
    </row>
    <row r="98" spans="1:6" ht="15.5" x14ac:dyDescent="0.35">
      <c r="A98" s="3" t="s">
        <v>77</v>
      </c>
      <c r="B98" s="3">
        <v>7.69</v>
      </c>
      <c r="C98" s="2">
        <v>84.86</v>
      </c>
      <c r="D98" s="2">
        <v>55.45</v>
      </c>
      <c r="E98" t="s">
        <v>77</v>
      </c>
      <c r="F98" t="s">
        <v>666</v>
      </c>
    </row>
    <row r="99" spans="1:6" ht="15.5" x14ac:dyDescent="0.35">
      <c r="A99" s="3" t="s">
        <v>261</v>
      </c>
      <c r="B99" s="3">
        <v>4.58</v>
      </c>
      <c r="C99" s="2">
        <v>85.59</v>
      </c>
      <c r="D99" s="2">
        <v>60.41</v>
      </c>
      <c r="E99" t="s">
        <v>261</v>
      </c>
      <c r="F99" t="s">
        <v>674</v>
      </c>
    </row>
    <row r="100" spans="1:6" ht="15.5" x14ac:dyDescent="0.35">
      <c r="A100" s="3" t="s">
        <v>110</v>
      </c>
      <c r="B100" s="3">
        <v>5.51</v>
      </c>
      <c r="C100" s="2">
        <v>89.35</v>
      </c>
      <c r="D100" s="2">
        <v>59.4</v>
      </c>
      <c r="E100" t="s">
        <v>110</v>
      </c>
      <c r="F100" t="s">
        <v>664</v>
      </c>
    </row>
    <row r="101" spans="1:6" ht="15.5" x14ac:dyDescent="0.35">
      <c r="A101" s="3" t="s">
        <v>205</v>
      </c>
      <c r="B101" s="3">
        <v>6.05</v>
      </c>
      <c r="C101" s="2">
        <v>79.66</v>
      </c>
      <c r="D101" s="2">
        <v>49.94</v>
      </c>
    </row>
    <row r="102" spans="1:6" ht="15.5" x14ac:dyDescent="0.35">
      <c r="A102" s="3" t="s">
        <v>586</v>
      </c>
      <c r="B102" s="3">
        <v>2.3199999999999998</v>
      </c>
      <c r="C102" s="2">
        <v>93.77</v>
      </c>
      <c r="D102" s="2">
        <v>81.19</v>
      </c>
      <c r="E102" t="s">
        <v>586</v>
      </c>
      <c r="F102" t="s">
        <v>693</v>
      </c>
    </row>
    <row r="103" spans="1:6" ht="15.5" x14ac:dyDescent="0.35">
      <c r="A103" s="3" t="s">
        <v>345</v>
      </c>
      <c r="B103" s="3">
        <v>2.84</v>
      </c>
      <c r="C103" s="2">
        <v>87.62</v>
      </c>
      <c r="D103" s="2">
        <v>69.73</v>
      </c>
      <c r="E103" t="s">
        <v>345</v>
      </c>
      <c r="F103" t="s">
        <v>687</v>
      </c>
    </row>
    <row r="104" spans="1:6" ht="15.5" x14ac:dyDescent="0.35">
      <c r="A104" s="3" t="s">
        <v>456</v>
      </c>
      <c r="B104" s="3">
        <v>2.78</v>
      </c>
      <c r="C104" s="2">
        <v>86.24</v>
      </c>
      <c r="D104" s="2">
        <v>52.51</v>
      </c>
      <c r="E104" t="s">
        <v>456</v>
      </c>
      <c r="F104" t="s">
        <v>671</v>
      </c>
    </row>
    <row r="105" spans="1:6" ht="15.5" x14ac:dyDescent="0.35">
      <c r="A105" s="3" t="s">
        <v>155</v>
      </c>
      <c r="B105" s="3">
        <v>2.68</v>
      </c>
      <c r="C105" s="2">
        <v>87.71</v>
      </c>
      <c r="D105" s="2">
        <v>66.72</v>
      </c>
      <c r="E105" t="s">
        <v>155</v>
      </c>
      <c r="F105" t="s">
        <v>678</v>
      </c>
    </row>
    <row r="106" spans="1:6" ht="15.5" x14ac:dyDescent="0.35">
      <c r="A106" s="3" t="s">
        <v>362</v>
      </c>
      <c r="B106" s="3">
        <v>2.95</v>
      </c>
      <c r="C106" s="2">
        <v>76.7</v>
      </c>
      <c r="D106" s="2">
        <v>67.459999999999994</v>
      </c>
      <c r="E106" t="s">
        <v>362</v>
      </c>
      <c r="F106" t="s">
        <v>665</v>
      </c>
    </row>
    <row r="107" spans="1:6" ht="15.5" x14ac:dyDescent="0.35">
      <c r="A107" s="3" t="s">
        <v>481</v>
      </c>
      <c r="B107" s="3">
        <v>1.78</v>
      </c>
      <c r="C107" s="2">
        <v>86.2</v>
      </c>
      <c r="D107" s="2">
        <v>68.239999999999995</v>
      </c>
      <c r="E107" t="s">
        <v>481</v>
      </c>
      <c r="F107" t="s">
        <v>675</v>
      </c>
    </row>
    <row r="108" spans="1:6" ht="15.5" x14ac:dyDescent="0.35">
      <c r="A108" s="3" t="s">
        <v>546</v>
      </c>
      <c r="B108" s="3">
        <v>6.4</v>
      </c>
      <c r="C108" s="2">
        <v>75.819999999999993</v>
      </c>
      <c r="D108" s="2">
        <v>49.99</v>
      </c>
      <c r="E108" t="s">
        <v>694</v>
      </c>
      <c r="F108" t="s">
        <v>695</v>
      </c>
    </row>
    <row r="109" spans="1:6" ht="15.5" x14ac:dyDescent="0.35">
      <c r="A109" s="3" t="s">
        <v>360</v>
      </c>
      <c r="B109" s="3">
        <v>6.36</v>
      </c>
      <c r="C109" s="2">
        <v>79.53</v>
      </c>
      <c r="D109" s="2" t="s">
        <v>600</v>
      </c>
      <c r="E109" t="s">
        <v>360</v>
      </c>
      <c r="F109" t="s">
        <v>665</v>
      </c>
    </row>
    <row r="110" spans="1:6" ht="15.5" x14ac:dyDescent="0.35">
      <c r="A110" s="3" t="s">
        <v>217</v>
      </c>
      <c r="B110" s="3">
        <v>6.54</v>
      </c>
      <c r="C110" s="2">
        <v>84.78</v>
      </c>
      <c r="D110" s="2">
        <v>51.07</v>
      </c>
      <c r="E110" t="s">
        <v>217</v>
      </c>
      <c r="F110" t="s">
        <v>670</v>
      </c>
    </row>
    <row r="111" spans="1:6" ht="15.5" x14ac:dyDescent="0.35">
      <c r="A111" s="3" t="s">
        <v>54</v>
      </c>
      <c r="B111" s="3">
        <v>2.2400000000000002</v>
      </c>
      <c r="C111" s="2">
        <v>84.03</v>
      </c>
      <c r="D111" s="2">
        <v>72.790000000000006</v>
      </c>
      <c r="E111" t="s">
        <v>54</v>
      </c>
      <c r="F111" t="s">
        <v>661</v>
      </c>
    </row>
    <row r="112" spans="1:6" ht="15.5" x14ac:dyDescent="0.35">
      <c r="A112" s="3" t="s">
        <v>334</v>
      </c>
      <c r="B112" s="3">
        <v>1.55</v>
      </c>
      <c r="C112" s="2">
        <v>81.489999999999995</v>
      </c>
      <c r="D112" s="2">
        <v>70.13</v>
      </c>
      <c r="E112" t="s">
        <v>334</v>
      </c>
      <c r="F112" t="s">
        <v>668</v>
      </c>
    </row>
    <row r="113" spans="1:6" ht="15.5" x14ac:dyDescent="0.35">
      <c r="A113" s="3" t="s">
        <v>508</v>
      </c>
      <c r="B113" s="3">
        <v>3.42</v>
      </c>
      <c r="C113" s="2">
        <v>85.3</v>
      </c>
      <c r="D113" s="2">
        <v>53.12</v>
      </c>
    </row>
    <row r="114" spans="1:6" ht="15.5" x14ac:dyDescent="0.35">
      <c r="A114" s="3" t="s">
        <v>510</v>
      </c>
      <c r="B114" s="3">
        <v>3.26</v>
      </c>
      <c r="C114" s="2">
        <v>83.7</v>
      </c>
      <c r="D114" s="2">
        <v>51.47</v>
      </c>
      <c r="E114" t="s">
        <v>510</v>
      </c>
      <c r="F114" t="s">
        <v>510</v>
      </c>
    </row>
    <row r="115" spans="1:6" ht="15.5" x14ac:dyDescent="0.35">
      <c r="A115" s="3" t="s">
        <v>513</v>
      </c>
      <c r="B115" s="3">
        <v>3.05</v>
      </c>
      <c r="C115" s="2">
        <v>90.26</v>
      </c>
      <c r="D115" s="2">
        <v>58.44</v>
      </c>
      <c r="E115" t="s">
        <v>513</v>
      </c>
      <c r="F115" t="s">
        <v>510</v>
      </c>
    </row>
    <row r="116" spans="1:6" ht="15.5" x14ac:dyDescent="0.35">
      <c r="A116" s="3" t="s">
        <v>471</v>
      </c>
      <c r="B116" s="3">
        <v>4.25</v>
      </c>
      <c r="C116" s="2">
        <v>85.81</v>
      </c>
      <c r="D116" s="2">
        <v>51.22</v>
      </c>
      <c r="E116" t="s">
        <v>471</v>
      </c>
      <c r="F116" t="s">
        <v>675</v>
      </c>
    </row>
    <row r="117" spans="1:6" ht="15.5" x14ac:dyDescent="0.35">
      <c r="A117" s="3" t="s">
        <v>307</v>
      </c>
      <c r="B117" s="3">
        <v>5.47</v>
      </c>
      <c r="C117" s="2">
        <v>83.38</v>
      </c>
      <c r="D117" s="2">
        <v>52.54</v>
      </c>
      <c r="E117" t="s">
        <v>307</v>
      </c>
      <c r="F117" t="s">
        <v>673</v>
      </c>
    </row>
    <row r="118" spans="1:6" ht="15.5" x14ac:dyDescent="0.35">
      <c r="A118" s="3" t="s">
        <v>255</v>
      </c>
      <c r="B118" s="3">
        <v>3.12</v>
      </c>
      <c r="C118" s="2">
        <v>87.53</v>
      </c>
      <c r="D118" s="2">
        <v>67.69</v>
      </c>
      <c r="E118" t="s">
        <v>255</v>
      </c>
      <c r="F118" t="s">
        <v>674</v>
      </c>
    </row>
    <row r="119" spans="1:6" ht="15.5" x14ac:dyDescent="0.35">
      <c r="A119" s="3" t="s">
        <v>279</v>
      </c>
      <c r="B119" s="3">
        <v>2.15</v>
      </c>
      <c r="C119" s="2">
        <v>86.88</v>
      </c>
      <c r="D119" s="2">
        <v>67.489999999999995</v>
      </c>
      <c r="E119" t="s">
        <v>696</v>
      </c>
      <c r="F119" t="s">
        <v>676</v>
      </c>
    </row>
    <row r="120" spans="1:6" ht="15.5" x14ac:dyDescent="0.35">
      <c r="A120" s="3" t="s">
        <v>400</v>
      </c>
      <c r="B120" s="3">
        <v>3.31</v>
      </c>
      <c r="C120" s="2">
        <v>87.81</v>
      </c>
      <c r="D120" s="2">
        <v>44.89</v>
      </c>
      <c r="E120" t="s">
        <v>400</v>
      </c>
      <c r="F120" t="s">
        <v>679</v>
      </c>
    </row>
    <row r="121" spans="1:6" ht="15.5" x14ac:dyDescent="0.35">
      <c r="A121" s="3" t="s">
        <v>535</v>
      </c>
      <c r="B121" s="3">
        <v>4.0599999999999996</v>
      </c>
      <c r="C121" s="2">
        <v>76.72</v>
      </c>
      <c r="D121" s="2">
        <v>62.43</v>
      </c>
      <c r="E121" t="s">
        <v>535</v>
      </c>
      <c r="F121" t="s">
        <v>697</v>
      </c>
    </row>
    <row r="122" spans="1:6" ht="15.5" x14ac:dyDescent="0.35">
      <c r="A122" s="3" t="s">
        <v>538</v>
      </c>
      <c r="B122" s="3">
        <v>2.5499999999999998</v>
      </c>
      <c r="C122" s="2">
        <v>85.86</v>
      </c>
      <c r="D122" s="2">
        <v>63.67</v>
      </c>
      <c r="E122" t="s">
        <v>538</v>
      </c>
      <c r="F122" t="s">
        <v>697</v>
      </c>
    </row>
    <row r="123" spans="1:6" ht="15.5" x14ac:dyDescent="0.35">
      <c r="A123" s="3" t="s">
        <v>536</v>
      </c>
      <c r="B123" s="3">
        <v>3.96</v>
      </c>
      <c r="C123" s="2">
        <v>90.62</v>
      </c>
      <c r="D123" s="2">
        <v>49.83</v>
      </c>
      <c r="E123" t="s">
        <v>536</v>
      </c>
      <c r="F123" t="s">
        <v>697</v>
      </c>
    </row>
    <row r="124" spans="1:6" ht="15.5" x14ac:dyDescent="0.35">
      <c r="A124" s="3" t="s">
        <v>540</v>
      </c>
      <c r="B124" s="3">
        <v>4.8499999999999996</v>
      </c>
      <c r="C124" s="2">
        <v>87.02</v>
      </c>
      <c r="D124" s="2">
        <v>51.62</v>
      </c>
      <c r="E124" t="s">
        <v>540</v>
      </c>
      <c r="F124" t="s">
        <v>697</v>
      </c>
    </row>
    <row r="125" spans="1:6" ht="15.5" x14ac:dyDescent="0.35">
      <c r="A125" s="3" t="s">
        <v>539</v>
      </c>
      <c r="B125" s="3">
        <v>6.7</v>
      </c>
      <c r="C125" s="2">
        <v>87.35</v>
      </c>
      <c r="D125" s="2">
        <v>54.12</v>
      </c>
      <c r="E125" t="s">
        <v>539</v>
      </c>
      <c r="F125" t="s">
        <v>697</v>
      </c>
    </row>
    <row r="126" spans="1:6" ht="15.5" x14ac:dyDescent="0.35">
      <c r="A126" s="3" t="s">
        <v>410</v>
      </c>
      <c r="B126" s="3">
        <v>2.2000000000000002</v>
      </c>
      <c r="C126" s="2">
        <v>82.3</v>
      </c>
      <c r="D126" s="2">
        <v>59.65</v>
      </c>
      <c r="E126" t="s">
        <v>410</v>
      </c>
      <c r="F126" t="s">
        <v>669</v>
      </c>
    </row>
    <row r="127" spans="1:6" ht="15.5" x14ac:dyDescent="0.35">
      <c r="A127" s="3" t="s">
        <v>411</v>
      </c>
      <c r="B127" s="3">
        <v>3.12</v>
      </c>
      <c r="C127" s="2">
        <v>84.05</v>
      </c>
      <c r="D127" s="2">
        <v>62.56</v>
      </c>
      <c r="E127" t="s">
        <v>411</v>
      </c>
      <c r="F127" t="s">
        <v>669</v>
      </c>
    </row>
    <row r="128" spans="1:6" ht="15.5" x14ac:dyDescent="0.35">
      <c r="A128" s="3" t="s">
        <v>412</v>
      </c>
      <c r="B128" s="3">
        <v>3.79</v>
      </c>
      <c r="C128" s="2">
        <v>83.22</v>
      </c>
      <c r="D128" s="2">
        <v>58.68</v>
      </c>
      <c r="E128" t="s">
        <v>412</v>
      </c>
      <c r="F128" t="s">
        <v>669</v>
      </c>
    </row>
    <row r="129" spans="1:6" ht="15.5" x14ac:dyDescent="0.35">
      <c r="A129" s="3" t="s">
        <v>80</v>
      </c>
      <c r="B129" s="3">
        <v>0.72</v>
      </c>
      <c r="C129" s="2">
        <v>91.56</v>
      </c>
      <c r="D129" s="2">
        <v>82.48</v>
      </c>
      <c r="E129" t="s">
        <v>80</v>
      </c>
      <c r="F129" t="s">
        <v>666</v>
      </c>
    </row>
    <row r="130" spans="1:6" ht="15.5" x14ac:dyDescent="0.35">
      <c r="A130" s="3" t="s">
        <v>593</v>
      </c>
      <c r="B130" s="3">
        <v>4.8499999999999996</v>
      </c>
      <c r="C130" s="2">
        <v>84.4</v>
      </c>
      <c r="D130" s="2">
        <v>56.63</v>
      </c>
    </row>
    <row r="131" spans="1:6" ht="15.5" x14ac:dyDescent="0.35">
      <c r="A131" s="3" t="s">
        <v>122</v>
      </c>
      <c r="B131" s="3">
        <v>3</v>
      </c>
      <c r="C131" s="2">
        <v>84.8</v>
      </c>
      <c r="D131" s="2">
        <v>43.41</v>
      </c>
      <c r="E131" t="s">
        <v>122</v>
      </c>
      <c r="F131" t="s">
        <v>682</v>
      </c>
    </row>
    <row r="132" spans="1:6" ht="15.5" x14ac:dyDescent="0.35">
      <c r="A132" s="3" t="s">
        <v>121</v>
      </c>
      <c r="B132" s="3">
        <v>2.59</v>
      </c>
      <c r="C132" s="2">
        <v>87.12</v>
      </c>
      <c r="D132" s="2">
        <v>46.23</v>
      </c>
      <c r="E132" t="s">
        <v>121</v>
      </c>
      <c r="F132" t="s">
        <v>682</v>
      </c>
    </row>
    <row r="133" spans="1:6" ht="15.5" x14ac:dyDescent="0.35">
      <c r="A133" s="3" t="s">
        <v>224</v>
      </c>
      <c r="B133" s="3">
        <v>6.47</v>
      </c>
      <c r="C133" s="2">
        <v>85.09</v>
      </c>
      <c r="D133" s="2">
        <v>45.14</v>
      </c>
      <c r="E133" t="s">
        <v>224</v>
      </c>
      <c r="F133" t="s">
        <v>670</v>
      </c>
    </row>
    <row r="134" spans="1:6" ht="15.5" x14ac:dyDescent="0.35">
      <c r="A134" s="3" t="s">
        <v>587</v>
      </c>
      <c r="B134" s="3">
        <v>8.0500000000000007</v>
      </c>
      <c r="C134" s="2">
        <v>60.23</v>
      </c>
      <c r="D134" s="2">
        <v>53.43</v>
      </c>
      <c r="E134" t="s">
        <v>587</v>
      </c>
      <c r="F134" t="s">
        <v>693</v>
      </c>
    </row>
    <row r="135" spans="1:6" ht="15.5" x14ac:dyDescent="0.35">
      <c r="A135" s="3" t="s">
        <v>132</v>
      </c>
      <c r="B135" s="3">
        <v>4.26</v>
      </c>
      <c r="C135" s="2">
        <v>85.6</v>
      </c>
      <c r="D135" s="2">
        <v>50.63</v>
      </c>
    </row>
    <row r="136" spans="1:6" ht="15.5" x14ac:dyDescent="0.35">
      <c r="A136" s="3" t="s">
        <v>212</v>
      </c>
      <c r="B136" s="3">
        <v>6.77</v>
      </c>
      <c r="C136" s="2">
        <v>84.41</v>
      </c>
      <c r="D136" s="2">
        <v>49.27</v>
      </c>
    </row>
    <row r="137" spans="1:6" ht="15.5" x14ac:dyDescent="0.35">
      <c r="A137" s="3" t="s">
        <v>240</v>
      </c>
      <c r="B137" s="3">
        <v>4.66</v>
      </c>
      <c r="C137" s="2">
        <v>85.36</v>
      </c>
      <c r="D137" s="2">
        <v>63.37</v>
      </c>
    </row>
    <row r="138" spans="1:6" ht="15.5" x14ac:dyDescent="0.35">
      <c r="A138" s="3" t="s">
        <v>282</v>
      </c>
      <c r="B138" s="3">
        <v>3.88</v>
      </c>
      <c r="C138" s="2">
        <v>85.89</v>
      </c>
      <c r="D138" s="2">
        <v>62.29</v>
      </c>
    </row>
    <row r="139" spans="1:6" ht="15.5" x14ac:dyDescent="0.35">
      <c r="A139" s="3" t="s">
        <v>563</v>
      </c>
      <c r="B139" s="3">
        <v>8.66</v>
      </c>
      <c r="C139" s="2">
        <v>77.66</v>
      </c>
      <c r="D139" s="2">
        <v>50.87</v>
      </c>
      <c r="E139" t="s">
        <v>563</v>
      </c>
      <c r="F139" t="s">
        <v>686</v>
      </c>
    </row>
    <row r="140" spans="1:6" ht="15.5" x14ac:dyDescent="0.35">
      <c r="A140" s="3" t="s">
        <v>562</v>
      </c>
      <c r="B140" s="3">
        <v>3.18</v>
      </c>
      <c r="C140" s="2">
        <v>85.11</v>
      </c>
      <c r="D140" s="2">
        <v>69.73</v>
      </c>
      <c r="E140" t="s">
        <v>562</v>
      </c>
      <c r="F140" t="s">
        <v>698</v>
      </c>
    </row>
    <row r="141" spans="1:6" ht="15.5" x14ac:dyDescent="0.35">
      <c r="A141" s="3" t="s">
        <v>291</v>
      </c>
      <c r="B141" s="3">
        <v>3.07</v>
      </c>
      <c r="C141" s="2">
        <v>88.61</v>
      </c>
      <c r="D141" s="2">
        <v>63.21</v>
      </c>
      <c r="E141" t="s">
        <v>291</v>
      </c>
      <c r="F141" t="s">
        <v>673</v>
      </c>
    </row>
    <row r="142" spans="1:6" ht="15.5" x14ac:dyDescent="0.35">
      <c r="A142" s="3" t="s">
        <v>331</v>
      </c>
      <c r="B142" s="3">
        <v>1.64</v>
      </c>
      <c r="C142" s="2">
        <v>84.35</v>
      </c>
      <c r="D142" s="2">
        <v>73.09</v>
      </c>
      <c r="E142" t="s">
        <v>331</v>
      </c>
      <c r="F142" t="s">
        <v>668</v>
      </c>
    </row>
    <row r="143" spans="1:6" ht="15.5" x14ac:dyDescent="0.35">
      <c r="A143" s="3" t="s">
        <v>469</v>
      </c>
      <c r="B143" s="3">
        <v>1.88</v>
      </c>
      <c r="C143" s="2">
        <v>86.64</v>
      </c>
      <c r="D143" s="2">
        <v>57.49</v>
      </c>
      <c r="E143" t="s">
        <v>469</v>
      </c>
      <c r="F143" t="s">
        <v>675</v>
      </c>
    </row>
    <row r="144" spans="1:6" ht="15.5" x14ac:dyDescent="0.35">
      <c r="A144" s="3" t="s">
        <v>260</v>
      </c>
      <c r="B144" s="3">
        <v>3.3</v>
      </c>
      <c r="C144" s="2">
        <v>83.5</v>
      </c>
      <c r="D144" s="2">
        <v>63.47</v>
      </c>
      <c r="E144" t="s">
        <v>260</v>
      </c>
      <c r="F144" t="s">
        <v>674</v>
      </c>
    </row>
    <row r="145" spans="1:6" ht="15.5" x14ac:dyDescent="0.35">
      <c r="A145" s="3" t="s">
        <v>299</v>
      </c>
      <c r="B145" s="3">
        <v>3.28</v>
      </c>
      <c r="C145" s="2">
        <v>86.43</v>
      </c>
      <c r="D145" s="2">
        <v>58.77</v>
      </c>
      <c r="E145" t="s">
        <v>299</v>
      </c>
      <c r="F145" t="s">
        <v>673</v>
      </c>
    </row>
    <row r="146" spans="1:6" ht="15.5" x14ac:dyDescent="0.35">
      <c r="A146" s="3" t="s">
        <v>547</v>
      </c>
      <c r="B146" s="3">
        <v>5.75</v>
      </c>
      <c r="C146" s="2">
        <v>73.42</v>
      </c>
      <c r="D146" s="2">
        <v>56.44</v>
      </c>
      <c r="E146" t="s">
        <v>547</v>
      </c>
      <c r="F146" t="s">
        <v>695</v>
      </c>
    </row>
    <row r="147" spans="1:6" ht="15.5" x14ac:dyDescent="0.35">
      <c r="A147" s="3" t="s">
        <v>374</v>
      </c>
      <c r="B147" s="3">
        <v>4.82</v>
      </c>
      <c r="C147" s="2">
        <v>85.32</v>
      </c>
      <c r="D147" s="2">
        <v>55.7</v>
      </c>
    </row>
    <row r="148" spans="1:6" ht="15.5" x14ac:dyDescent="0.35">
      <c r="A148" s="3" t="s">
        <v>404</v>
      </c>
      <c r="B148" s="3">
        <v>4.16</v>
      </c>
      <c r="C148" s="2">
        <v>84.48</v>
      </c>
      <c r="D148" s="2">
        <v>55.18</v>
      </c>
    </row>
    <row r="149" spans="1:6" ht="15.5" x14ac:dyDescent="0.35">
      <c r="A149" s="3" t="s">
        <v>389</v>
      </c>
      <c r="B149" s="3">
        <v>3.97</v>
      </c>
      <c r="C149" s="2">
        <v>85.26</v>
      </c>
      <c r="D149" s="2">
        <v>50.34</v>
      </c>
    </row>
    <row r="150" spans="1:6" ht="15.5" x14ac:dyDescent="0.35">
      <c r="A150" s="3" t="s">
        <v>418</v>
      </c>
      <c r="B150" s="3">
        <v>5.18</v>
      </c>
      <c r="C150" s="2">
        <v>83.14</v>
      </c>
      <c r="D150" s="2">
        <v>48.72</v>
      </c>
    </row>
    <row r="151" spans="1:6" ht="15.5" x14ac:dyDescent="0.35">
      <c r="A151" s="3" t="s">
        <v>429</v>
      </c>
      <c r="B151" s="3">
        <v>3.85</v>
      </c>
      <c r="C151" s="2">
        <v>84.95</v>
      </c>
      <c r="D151" s="2">
        <v>52.26</v>
      </c>
    </row>
    <row r="152" spans="1:6" ht="15.5" x14ac:dyDescent="0.35">
      <c r="A152" s="3" t="s">
        <v>125</v>
      </c>
      <c r="B152" s="3">
        <v>4.57</v>
      </c>
      <c r="C152" s="2">
        <v>84.08</v>
      </c>
      <c r="D152" s="2">
        <v>43.73</v>
      </c>
      <c r="E152" t="s">
        <v>125</v>
      </c>
      <c r="F152" t="s">
        <v>682</v>
      </c>
    </row>
    <row r="153" spans="1:6" ht="15.5" x14ac:dyDescent="0.35">
      <c r="A153" s="3" t="s">
        <v>392</v>
      </c>
      <c r="B153" s="3">
        <v>3.51</v>
      </c>
      <c r="C153" s="2">
        <v>83.09</v>
      </c>
      <c r="D153" s="2">
        <v>51.82</v>
      </c>
      <c r="E153" t="s">
        <v>392</v>
      </c>
      <c r="F153" t="s">
        <v>679</v>
      </c>
    </row>
    <row r="154" spans="1:6" ht="15.5" x14ac:dyDescent="0.35">
      <c r="A154" s="3" t="s">
        <v>382</v>
      </c>
      <c r="B154" s="3">
        <v>2.09</v>
      </c>
      <c r="C154" s="2">
        <v>87.32</v>
      </c>
      <c r="D154" s="2">
        <v>60.38</v>
      </c>
      <c r="E154" t="s">
        <v>382</v>
      </c>
      <c r="F154" t="s">
        <v>683</v>
      </c>
    </row>
    <row r="155" spans="1:6" ht="15.5" x14ac:dyDescent="0.35">
      <c r="A155" s="3" t="s">
        <v>253</v>
      </c>
      <c r="B155" s="3">
        <v>3.26</v>
      </c>
      <c r="C155" s="2">
        <v>84.76</v>
      </c>
      <c r="D155" s="2">
        <v>65.06</v>
      </c>
      <c r="E155" t="s">
        <v>253</v>
      </c>
      <c r="F155" t="s">
        <v>674</v>
      </c>
    </row>
    <row r="156" spans="1:6" ht="15.5" x14ac:dyDescent="0.35">
      <c r="A156" s="3" t="s">
        <v>337</v>
      </c>
      <c r="B156" s="3">
        <v>1.8</v>
      </c>
      <c r="C156" s="2">
        <v>88.92</v>
      </c>
      <c r="D156" s="2">
        <v>80.53</v>
      </c>
      <c r="E156" t="s">
        <v>337</v>
      </c>
      <c r="F156" t="s">
        <v>668</v>
      </c>
    </row>
    <row r="157" spans="1:6" ht="15.5" x14ac:dyDescent="0.35">
      <c r="A157" s="3" t="s">
        <v>227</v>
      </c>
      <c r="B157" s="3">
        <v>7.99</v>
      </c>
      <c r="C157" s="2">
        <v>86.05</v>
      </c>
      <c r="D157" s="2">
        <v>43.99</v>
      </c>
      <c r="E157" t="s">
        <v>227</v>
      </c>
      <c r="F157" t="s">
        <v>670</v>
      </c>
    </row>
    <row r="158" spans="1:6" ht="15.5" x14ac:dyDescent="0.35">
      <c r="A158" s="3" t="s">
        <v>198</v>
      </c>
      <c r="B158" s="3">
        <v>6.31</v>
      </c>
      <c r="C158" s="2">
        <v>82.54</v>
      </c>
      <c r="D158" s="2">
        <v>50.26</v>
      </c>
      <c r="E158" t="s">
        <v>198</v>
      </c>
      <c r="F158" t="s">
        <v>688</v>
      </c>
    </row>
    <row r="159" spans="1:6" ht="15.5" x14ac:dyDescent="0.35">
      <c r="A159" s="3" t="s">
        <v>76</v>
      </c>
      <c r="B159" s="3">
        <v>1.93</v>
      </c>
      <c r="C159" s="2">
        <v>88.73</v>
      </c>
      <c r="D159" s="2">
        <v>83.42</v>
      </c>
      <c r="E159" t="s">
        <v>76</v>
      </c>
      <c r="F159" t="s">
        <v>666</v>
      </c>
    </row>
    <row r="160" spans="1:6" ht="15.5" x14ac:dyDescent="0.35">
      <c r="A160" s="3" t="s">
        <v>398</v>
      </c>
      <c r="B160" s="3">
        <v>4.59</v>
      </c>
      <c r="C160" s="2">
        <v>86.93</v>
      </c>
      <c r="D160" s="2">
        <v>47.87</v>
      </c>
      <c r="E160" t="s">
        <v>398</v>
      </c>
      <c r="F160" t="s">
        <v>679</v>
      </c>
    </row>
    <row r="161" spans="1:6" ht="15.5" x14ac:dyDescent="0.35">
      <c r="A161" s="3" t="s">
        <v>166</v>
      </c>
      <c r="B161" s="3">
        <v>3.88</v>
      </c>
      <c r="C161" s="2">
        <v>83.88</v>
      </c>
      <c r="D161" s="2">
        <v>62.84</v>
      </c>
      <c r="E161" t="s">
        <v>166</v>
      </c>
      <c r="F161" t="s">
        <v>684</v>
      </c>
    </row>
    <row r="162" spans="1:6" ht="15.5" x14ac:dyDescent="0.35">
      <c r="A162" s="3" t="s">
        <v>385</v>
      </c>
      <c r="B162" s="3">
        <v>3.77</v>
      </c>
      <c r="C162" s="2">
        <v>86.23</v>
      </c>
      <c r="D162" s="2">
        <v>48.28</v>
      </c>
      <c r="E162" t="s">
        <v>385</v>
      </c>
      <c r="F162" t="s">
        <v>683</v>
      </c>
    </row>
    <row r="163" spans="1:6" ht="15.5" x14ac:dyDescent="0.35">
      <c r="A163" s="3" t="s">
        <v>245</v>
      </c>
      <c r="B163" s="3">
        <v>4.95</v>
      </c>
      <c r="C163" s="2">
        <v>85.74</v>
      </c>
      <c r="D163" s="2">
        <v>66.41</v>
      </c>
      <c r="E163" t="s">
        <v>245</v>
      </c>
      <c r="F163" t="s">
        <v>674</v>
      </c>
    </row>
    <row r="164" spans="1:6" ht="15.5" x14ac:dyDescent="0.35">
      <c r="A164" s="3" t="s">
        <v>288</v>
      </c>
      <c r="B164" s="3">
        <v>4.71</v>
      </c>
      <c r="C164" s="2">
        <v>85.58</v>
      </c>
      <c r="D164" s="2">
        <v>53.55</v>
      </c>
      <c r="E164" t="s">
        <v>288</v>
      </c>
      <c r="F164" t="s">
        <v>673</v>
      </c>
    </row>
    <row r="165" spans="1:6" ht="15.5" x14ac:dyDescent="0.35">
      <c r="A165" s="3" t="s">
        <v>577</v>
      </c>
      <c r="B165" s="3">
        <v>3.87</v>
      </c>
      <c r="C165" s="2">
        <v>87.71</v>
      </c>
      <c r="D165" s="2">
        <v>68.69</v>
      </c>
      <c r="E165" t="s">
        <v>577</v>
      </c>
      <c r="F165" t="s">
        <v>686</v>
      </c>
    </row>
    <row r="166" spans="1:6" ht="15.5" x14ac:dyDescent="0.35">
      <c r="A166" s="3" t="s">
        <v>264</v>
      </c>
      <c r="B166" s="3">
        <v>4.5999999999999996</v>
      </c>
      <c r="C166" s="2">
        <v>88.03</v>
      </c>
      <c r="D166" s="2">
        <v>64.8</v>
      </c>
      <c r="E166" t="s">
        <v>264</v>
      </c>
      <c r="F166" t="s">
        <v>674</v>
      </c>
    </row>
    <row r="167" spans="1:6" ht="15.5" x14ac:dyDescent="0.35">
      <c r="A167" s="3" t="s">
        <v>189</v>
      </c>
      <c r="B167" s="3">
        <v>4.45</v>
      </c>
      <c r="C167" s="2">
        <v>85.86</v>
      </c>
      <c r="D167" s="2">
        <v>52.02</v>
      </c>
    </row>
    <row r="168" spans="1:6" ht="15.5" x14ac:dyDescent="0.35">
      <c r="A168" s="3" t="s">
        <v>206</v>
      </c>
      <c r="B168" s="3">
        <v>7.71</v>
      </c>
      <c r="C168" s="2">
        <v>84.25</v>
      </c>
      <c r="D168" s="2">
        <v>59.94</v>
      </c>
      <c r="E168" t="s">
        <v>662</v>
      </c>
      <c r="F168" t="s">
        <v>663</v>
      </c>
    </row>
    <row r="169" spans="1:6" ht="15.5" x14ac:dyDescent="0.35">
      <c r="A169" s="3" t="s">
        <v>170</v>
      </c>
      <c r="B169" s="3">
        <v>2.4900000000000002</v>
      </c>
      <c r="C169" s="2">
        <v>88.24</v>
      </c>
      <c r="D169" s="2">
        <v>70.48</v>
      </c>
      <c r="E169" t="s">
        <v>170</v>
      </c>
      <c r="F169" t="s">
        <v>684</v>
      </c>
    </row>
    <row r="170" spans="1:6" ht="15.5" x14ac:dyDescent="0.35">
      <c r="A170" s="3" t="s">
        <v>202</v>
      </c>
      <c r="B170" s="3">
        <v>2.56</v>
      </c>
      <c r="C170" s="2">
        <v>79.900000000000006</v>
      </c>
      <c r="D170" s="2">
        <v>55.41</v>
      </c>
      <c r="E170" t="s">
        <v>202</v>
      </c>
      <c r="F170" t="s">
        <v>688</v>
      </c>
    </row>
    <row r="171" spans="1:6" ht="15.5" x14ac:dyDescent="0.35">
      <c r="A171" s="3" t="s">
        <v>527</v>
      </c>
      <c r="B171" s="3">
        <v>2.1</v>
      </c>
      <c r="C171" s="2">
        <v>81.67</v>
      </c>
      <c r="D171" s="2">
        <v>40.479999999999997</v>
      </c>
      <c r="E171" t="s">
        <v>527</v>
      </c>
      <c r="F171" t="s">
        <v>692</v>
      </c>
    </row>
    <row r="172" spans="1:6" ht="15.5" x14ac:dyDescent="0.35">
      <c r="A172" s="3" t="s">
        <v>100</v>
      </c>
      <c r="B172" s="3">
        <v>1.53</v>
      </c>
      <c r="C172" s="2">
        <v>85.58</v>
      </c>
      <c r="D172" s="2">
        <v>78.83</v>
      </c>
      <c r="E172" t="s">
        <v>100</v>
      </c>
      <c r="F172" t="s">
        <v>664</v>
      </c>
    </row>
    <row r="173" spans="1:6" ht="15.5" x14ac:dyDescent="0.35">
      <c r="A173" s="3" t="s">
        <v>129</v>
      </c>
      <c r="B173" s="3">
        <v>5.43</v>
      </c>
      <c r="C173" s="2">
        <v>82.32</v>
      </c>
      <c r="D173" s="2">
        <v>55.69</v>
      </c>
      <c r="E173" t="s">
        <v>129</v>
      </c>
      <c r="F173" t="s">
        <v>682</v>
      </c>
    </row>
    <row r="174" spans="1:6" ht="15.5" x14ac:dyDescent="0.35">
      <c r="A174" s="3" t="s">
        <v>197</v>
      </c>
      <c r="B174" s="3">
        <v>6.45</v>
      </c>
      <c r="C174" s="2">
        <v>83.94</v>
      </c>
      <c r="D174" s="2">
        <v>52.12</v>
      </c>
    </row>
    <row r="175" spans="1:6" ht="15.5" x14ac:dyDescent="0.35">
      <c r="A175" s="3" t="s">
        <v>438</v>
      </c>
      <c r="B175" s="3">
        <v>2.64</v>
      </c>
      <c r="C175" s="2">
        <v>81.25</v>
      </c>
      <c r="D175" s="2">
        <v>54.52</v>
      </c>
      <c r="E175" t="s">
        <v>438</v>
      </c>
      <c r="F175" t="s">
        <v>689</v>
      </c>
    </row>
    <row r="176" spans="1:6" ht="15.5" x14ac:dyDescent="0.35">
      <c r="A176" s="3" t="s">
        <v>466</v>
      </c>
      <c r="B176" s="3">
        <v>2.48</v>
      </c>
      <c r="C176" s="2">
        <v>81.95</v>
      </c>
      <c r="D176" s="2">
        <v>53.73</v>
      </c>
      <c r="E176" t="s">
        <v>466</v>
      </c>
      <c r="F176" t="s">
        <v>675</v>
      </c>
    </row>
    <row r="177" spans="1:6" ht="15.5" x14ac:dyDescent="0.35">
      <c r="A177" s="3" t="s">
        <v>537</v>
      </c>
      <c r="B177" s="3">
        <v>3.11</v>
      </c>
      <c r="C177" s="2">
        <v>80.95</v>
      </c>
      <c r="D177" s="2">
        <v>46.61</v>
      </c>
      <c r="E177" t="s">
        <v>537</v>
      </c>
      <c r="F177" t="s">
        <v>697</v>
      </c>
    </row>
    <row r="178" spans="1:6" ht="15.5" x14ac:dyDescent="0.35">
      <c r="A178" s="3" t="s">
        <v>439</v>
      </c>
      <c r="B178" s="3">
        <v>3.4</v>
      </c>
      <c r="C178" s="2">
        <v>80.98</v>
      </c>
      <c r="D178" s="2">
        <v>50.82</v>
      </c>
      <c r="E178" t="s">
        <v>439</v>
      </c>
      <c r="F178" t="s">
        <v>689</v>
      </c>
    </row>
    <row r="179" spans="1:6" ht="15.5" x14ac:dyDescent="0.35">
      <c r="A179" s="3" t="s">
        <v>565</v>
      </c>
      <c r="B179" s="3">
        <v>6.58</v>
      </c>
      <c r="C179" s="2">
        <v>70.09</v>
      </c>
      <c r="D179" s="2">
        <v>40.950000000000003</v>
      </c>
      <c r="E179" t="s">
        <v>565</v>
      </c>
      <c r="F179" t="s">
        <v>686</v>
      </c>
    </row>
    <row r="180" spans="1:6" ht="15.5" x14ac:dyDescent="0.35">
      <c r="A180" s="3" t="s">
        <v>133</v>
      </c>
      <c r="B180" s="3">
        <v>2.39</v>
      </c>
      <c r="C180" s="2">
        <v>83.66</v>
      </c>
      <c r="D180" s="2">
        <v>65.84</v>
      </c>
      <c r="E180" t="s">
        <v>133</v>
      </c>
      <c r="F180" t="s">
        <v>681</v>
      </c>
    </row>
    <row r="181" spans="1:6" ht="15.5" x14ac:dyDescent="0.35">
      <c r="A181" s="3" t="s">
        <v>380</v>
      </c>
      <c r="B181" s="3">
        <v>6.75</v>
      </c>
      <c r="C181" s="2">
        <v>86.29</v>
      </c>
      <c r="D181" s="2">
        <v>47.68</v>
      </c>
      <c r="E181" t="s">
        <v>380</v>
      </c>
      <c r="F181" t="s">
        <v>683</v>
      </c>
    </row>
    <row r="182" spans="1:6" ht="15.5" x14ac:dyDescent="0.35">
      <c r="A182" s="3" t="s">
        <v>250</v>
      </c>
      <c r="B182" s="3">
        <v>3.88</v>
      </c>
      <c r="C182" s="2">
        <v>84.06</v>
      </c>
      <c r="D182" s="2">
        <v>67.430000000000007</v>
      </c>
      <c r="E182" t="s">
        <v>250</v>
      </c>
      <c r="F182" t="s">
        <v>674</v>
      </c>
    </row>
    <row r="183" spans="1:6" ht="15.5" x14ac:dyDescent="0.35">
      <c r="A183" s="3" t="s">
        <v>335</v>
      </c>
      <c r="B183" s="3">
        <v>1.1499999999999999</v>
      </c>
      <c r="C183" s="2">
        <v>83.5</v>
      </c>
      <c r="D183" s="2">
        <v>73.83</v>
      </c>
      <c r="E183" t="s">
        <v>335</v>
      </c>
      <c r="F183" t="s">
        <v>668</v>
      </c>
    </row>
    <row r="184" spans="1:6" ht="15.5" x14ac:dyDescent="0.35">
      <c r="A184" s="3" t="s">
        <v>494</v>
      </c>
      <c r="B184" s="3">
        <v>2.25</v>
      </c>
      <c r="C184" s="2">
        <v>89.12</v>
      </c>
      <c r="D184" s="2">
        <v>62.44</v>
      </c>
      <c r="E184" t="s">
        <v>494</v>
      </c>
      <c r="F184" t="s">
        <v>690</v>
      </c>
    </row>
    <row r="185" spans="1:6" ht="15.5" x14ac:dyDescent="0.35">
      <c r="A185" s="3" t="s">
        <v>501</v>
      </c>
      <c r="B185" s="3">
        <v>2.2000000000000002</v>
      </c>
      <c r="C185" s="2">
        <v>90.05</v>
      </c>
      <c r="D185" s="2">
        <v>59.76</v>
      </c>
      <c r="E185" t="s">
        <v>501</v>
      </c>
      <c r="F185" t="s">
        <v>690</v>
      </c>
    </row>
    <row r="186" spans="1:6" ht="15.5" x14ac:dyDescent="0.35">
      <c r="A186" s="3" t="s">
        <v>498</v>
      </c>
      <c r="B186" s="3">
        <v>1.62</v>
      </c>
      <c r="C186" s="2">
        <v>89.13</v>
      </c>
      <c r="D186" s="2">
        <v>67.930000000000007</v>
      </c>
      <c r="E186" t="s">
        <v>498</v>
      </c>
      <c r="F186" t="s">
        <v>690</v>
      </c>
    </row>
    <row r="187" spans="1:6" ht="15.5" x14ac:dyDescent="0.35">
      <c r="A187" s="3" t="s">
        <v>493</v>
      </c>
      <c r="B187" s="3">
        <v>2.81</v>
      </c>
      <c r="C187" s="2">
        <v>88.95</v>
      </c>
      <c r="D187" s="2">
        <v>63.8</v>
      </c>
      <c r="E187" t="s">
        <v>493</v>
      </c>
      <c r="F187" t="s">
        <v>690</v>
      </c>
    </row>
    <row r="188" spans="1:6" ht="15.5" x14ac:dyDescent="0.35">
      <c r="A188" s="3" t="s">
        <v>502</v>
      </c>
      <c r="B188" s="3">
        <v>1.52</v>
      </c>
      <c r="C188" s="2">
        <v>89.34</v>
      </c>
      <c r="D188" s="2">
        <v>64.55</v>
      </c>
      <c r="E188" t="s">
        <v>502</v>
      </c>
      <c r="F188" t="s">
        <v>690</v>
      </c>
    </row>
    <row r="189" spans="1:6" ht="15.5" x14ac:dyDescent="0.35">
      <c r="A189" s="3" t="s">
        <v>495</v>
      </c>
      <c r="B189" s="3">
        <v>3.23</v>
      </c>
      <c r="C189" s="2">
        <v>85.96</v>
      </c>
      <c r="D189" s="2">
        <v>54.61</v>
      </c>
      <c r="E189" t="s">
        <v>495</v>
      </c>
      <c r="F189" t="s">
        <v>690</v>
      </c>
    </row>
    <row r="190" spans="1:6" ht="15.5" x14ac:dyDescent="0.35">
      <c r="A190" s="3" t="s">
        <v>500</v>
      </c>
      <c r="B190" s="3">
        <v>3.99</v>
      </c>
      <c r="C190" s="2">
        <v>85.83</v>
      </c>
      <c r="D190" s="2">
        <v>59.06</v>
      </c>
      <c r="E190" t="s">
        <v>500</v>
      </c>
      <c r="F190" t="s">
        <v>690</v>
      </c>
    </row>
    <row r="191" spans="1:6" ht="15.5" x14ac:dyDescent="0.35">
      <c r="A191" s="3" t="s">
        <v>532</v>
      </c>
      <c r="B191" s="3">
        <v>11.37</v>
      </c>
      <c r="C191" s="2">
        <v>76.14</v>
      </c>
      <c r="D191" s="2">
        <v>56.45</v>
      </c>
      <c r="E191" t="s">
        <v>532</v>
      </c>
      <c r="F191" t="s">
        <v>692</v>
      </c>
    </row>
    <row r="192" spans="1:6" ht="15.5" x14ac:dyDescent="0.35">
      <c r="A192" s="3" t="s">
        <v>426</v>
      </c>
      <c r="B192" s="3">
        <v>5.84</v>
      </c>
      <c r="C192" s="2">
        <v>81.81</v>
      </c>
      <c r="D192" s="2">
        <v>50.66</v>
      </c>
      <c r="E192" t="s">
        <v>426</v>
      </c>
      <c r="F192" t="s">
        <v>685</v>
      </c>
    </row>
    <row r="193" spans="1:6" ht="15.5" x14ac:dyDescent="0.35">
      <c r="A193" s="3" t="s">
        <v>60</v>
      </c>
      <c r="B193" s="3">
        <v>7.3</v>
      </c>
      <c r="C193" s="2">
        <v>79.61</v>
      </c>
      <c r="D193" s="2">
        <v>50.48</v>
      </c>
      <c r="E193" t="s">
        <v>60</v>
      </c>
      <c r="F193" t="s">
        <v>661</v>
      </c>
    </row>
    <row r="194" spans="1:6" ht="15.5" x14ac:dyDescent="0.35">
      <c r="A194" s="3" t="s">
        <v>187</v>
      </c>
      <c r="B194" s="3">
        <v>7.53</v>
      </c>
      <c r="C194" s="2">
        <v>81.010000000000005</v>
      </c>
      <c r="D194" s="2">
        <v>52.8</v>
      </c>
      <c r="E194" t="s">
        <v>187</v>
      </c>
      <c r="F194" t="s">
        <v>706</v>
      </c>
    </row>
    <row r="195" spans="1:6" ht="15.5" x14ac:dyDescent="0.35">
      <c r="A195" s="3" t="s">
        <v>233</v>
      </c>
      <c r="B195" s="3">
        <v>7.22</v>
      </c>
      <c r="C195" s="2">
        <v>84.43</v>
      </c>
      <c r="D195" s="2">
        <v>51.9</v>
      </c>
      <c r="E195" t="s">
        <v>233</v>
      </c>
      <c r="F195" t="s">
        <v>670</v>
      </c>
    </row>
    <row r="196" spans="1:6" ht="15.5" x14ac:dyDescent="0.35">
      <c r="A196" s="3" t="s">
        <v>239</v>
      </c>
      <c r="B196" s="3">
        <v>5.26</v>
      </c>
      <c r="C196" s="2">
        <v>85.74</v>
      </c>
      <c r="D196" s="2">
        <v>54.04</v>
      </c>
      <c r="E196" t="s">
        <v>239</v>
      </c>
      <c r="F196" t="s">
        <v>670</v>
      </c>
    </row>
    <row r="197" spans="1:6" ht="15.5" x14ac:dyDescent="0.35">
      <c r="A197" s="3" t="s">
        <v>417</v>
      </c>
      <c r="B197" s="3">
        <v>4.75</v>
      </c>
      <c r="C197" s="2">
        <v>83.92</v>
      </c>
      <c r="D197" s="2">
        <v>56.17</v>
      </c>
      <c r="E197" t="s">
        <v>707</v>
      </c>
      <c r="F197" t="s">
        <v>669</v>
      </c>
    </row>
    <row r="198" spans="1:6" ht="15.5" x14ac:dyDescent="0.35">
      <c r="A198" s="3" t="s">
        <v>416</v>
      </c>
      <c r="B198" s="3">
        <v>6.49</v>
      </c>
      <c r="C198" s="2">
        <v>81.709999999999994</v>
      </c>
      <c r="D198" s="2">
        <v>51.64</v>
      </c>
      <c r="E198" t="s">
        <v>416</v>
      </c>
      <c r="F198" t="s">
        <v>669</v>
      </c>
    </row>
    <row r="199" spans="1:6" ht="15.5" x14ac:dyDescent="0.35">
      <c r="A199" s="3" t="s">
        <v>203</v>
      </c>
      <c r="B199" s="3">
        <v>7.57</v>
      </c>
      <c r="C199" s="2">
        <v>85.35</v>
      </c>
      <c r="D199" s="2">
        <v>51.93</v>
      </c>
      <c r="E199" t="s">
        <v>203</v>
      </c>
      <c r="F199" t="s">
        <v>688</v>
      </c>
    </row>
    <row r="200" spans="1:6" ht="15.5" x14ac:dyDescent="0.35">
      <c r="A200" s="3" t="s">
        <v>320</v>
      </c>
      <c r="B200" s="3">
        <v>3.53</v>
      </c>
      <c r="C200" s="2">
        <v>88.45</v>
      </c>
      <c r="D200" s="2">
        <v>72.569999999999993</v>
      </c>
      <c r="E200" t="s">
        <v>320</v>
      </c>
      <c r="F200" t="s">
        <v>673</v>
      </c>
    </row>
    <row r="201" spans="1:6" ht="15.5" x14ac:dyDescent="0.35">
      <c r="A201" s="3" t="s">
        <v>507</v>
      </c>
      <c r="B201" s="3">
        <v>3.95</v>
      </c>
      <c r="C201" s="2">
        <v>76.91</v>
      </c>
      <c r="D201" s="2">
        <v>54.54</v>
      </c>
      <c r="E201" t="s">
        <v>708</v>
      </c>
      <c r="F201" t="s">
        <v>690</v>
      </c>
    </row>
    <row r="202" spans="1:6" ht="15.5" x14ac:dyDescent="0.35">
      <c r="A202" s="3" t="s">
        <v>235</v>
      </c>
      <c r="B202" s="3">
        <v>7.33</v>
      </c>
      <c r="C202" s="2">
        <v>79.52</v>
      </c>
      <c r="D202" s="2">
        <v>48.73</v>
      </c>
      <c r="E202" t="s">
        <v>235</v>
      </c>
      <c r="F202" t="s">
        <v>670</v>
      </c>
    </row>
    <row r="203" spans="1:6" ht="15.5" x14ac:dyDescent="0.35">
      <c r="A203" s="3" t="s">
        <v>172</v>
      </c>
      <c r="B203" s="3">
        <v>5.34</v>
      </c>
      <c r="C203" s="2">
        <v>77.739999999999995</v>
      </c>
      <c r="D203" s="2">
        <v>55.65</v>
      </c>
      <c r="E203" t="s">
        <v>172</v>
      </c>
      <c r="F203" t="s">
        <v>684</v>
      </c>
    </row>
    <row r="204" spans="1:6" ht="15.5" x14ac:dyDescent="0.35">
      <c r="A204" s="3" t="s">
        <v>350</v>
      </c>
      <c r="B204" s="3">
        <v>4.28</v>
      </c>
      <c r="C204" s="2">
        <v>81.650000000000006</v>
      </c>
      <c r="D204" s="2">
        <v>61.94</v>
      </c>
      <c r="E204" t="s">
        <v>350</v>
      </c>
      <c r="F204" t="s">
        <v>687</v>
      </c>
    </row>
    <row r="205" spans="1:6" ht="15.5" x14ac:dyDescent="0.35">
      <c r="A205" s="3" t="s">
        <v>96</v>
      </c>
      <c r="B205" s="3">
        <v>5.37</v>
      </c>
      <c r="C205" s="2">
        <v>76.87</v>
      </c>
      <c r="D205" s="2">
        <v>53.09</v>
      </c>
      <c r="E205" t="s">
        <v>96</v>
      </c>
      <c r="F205" t="s">
        <v>666</v>
      </c>
    </row>
    <row r="206" spans="1:6" ht="15.5" x14ac:dyDescent="0.35">
      <c r="A206" s="3" t="s">
        <v>448</v>
      </c>
      <c r="B206" s="3">
        <v>7.35</v>
      </c>
      <c r="C206" s="2">
        <v>84.3</v>
      </c>
      <c r="D206" s="2">
        <v>46.64</v>
      </c>
      <c r="E206" t="s">
        <v>448</v>
      </c>
      <c r="F206" t="s">
        <v>689</v>
      </c>
    </row>
    <row r="207" spans="1:6" ht="15.5" x14ac:dyDescent="0.35">
      <c r="A207" s="3" t="s">
        <v>313</v>
      </c>
      <c r="B207" s="3">
        <v>4.28</v>
      </c>
      <c r="C207" s="2">
        <v>84.84</v>
      </c>
      <c r="D207" s="2">
        <v>67.37</v>
      </c>
      <c r="E207" t="s">
        <v>313</v>
      </c>
      <c r="F207" t="s">
        <v>673</v>
      </c>
    </row>
    <row r="208" spans="1:6" ht="15.5" x14ac:dyDescent="0.35">
      <c r="A208" s="3" t="s">
        <v>231</v>
      </c>
      <c r="B208" s="3">
        <v>7.95</v>
      </c>
      <c r="C208" s="2">
        <v>80.41</v>
      </c>
      <c r="D208" s="2">
        <v>49.7</v>
      </c>
      <c r="E208" t="s">
        <v>231</v>
      </c>
      <c r="F208" t="s">
        <v>670</v>
      </c>
    </row>
    <row r="209" spans="1:6" ht="15.5" x14ac:dyDescent="0.35">
      <c r="A209" s="3" t="s">
        <v>428</v>
      </c>
      <c r="B209" s="3">
        <v>6.36</v>
      </c>
      <c r="C209" s="2">
        <v>82.95</v>
      </c>
      <c r="D209" s="2">
        <v>54.37</v>
      </c>
      <c r="E209" t="s">
        <v>428</v>
      </c>
      <c r="F209" t="s">
        <v>685</v>
      </c>
    </row>
    <row r="210" spans="1:6" ht="15.5" x14ac:dyDescent="0.35">
      <c r="A210" s="3" t="s">
        <v>116</v>
      </c>
      <c r="B210" s="3">
        <v>4.41</v>
      </c>
      <c r="C210" s="2">
        <v>81.99</v>
      </c>
      <c r="D210" s="2">
        <v>58.85</v>
      </c>
      <c r="E210" t="s">
        <v>116</v>
      </c>
      <c r="F210" t="s">
        <v>664</v>
      </c>
    </row>
    <row r="211" spans="1:6" ht="15.5" x14ac:dyDescent="0.35">
      <c r="A211" s="3" t="s">
        <v>327</v>
      </c>
      <c r="B211" s="3">
        <v>7.41</v>
      </c>
      <c r="C211" s="2">
        <v>78.92</v>
      </c>
      <c r="D211" s="2">
        <v>43.31</v>
      </c>
      <c r="E211" t="s">
        <v>327</v>
      </c>
      <c r="F211" t="s">
        <v>709</v>
      </c>
    </row>
    <row r="212" spans="1:6" ht="15.5" x14ac:dyDescent="0.35">
      <c r="A212" s="3" t="s">
        <v>237</v>
      </c>
      <c r="B212" s="3">
        <v>8.75</v>
      </c>
      <c r="C212" s="2">
        <v>81.87</v>
      </c>
      <c r="D212" s="2">
        <v>52.13</v>
      </c>
      <c r="E212" t="s">
        <v>237</v>
      </c>
      <c r="F212" t="s">
        <v>670</v>
      </c>
    </row>
    <row r="213" spans="1:6" ht="15.5" x14ac:dyDescent="0.35">
      <c r="A213" s="3" t="s">
        <v>234</v>
      </c>
      <c r="B213" s="3">
        <v>6.41</v>
      </c>
      <c r="C213" s="2">
        <v>81.05</v>
      </c>
      <c r="D213" s="2">
        <v>57.05</v>
      </c>
      <c r="E213" t="s">
        <v>234</v>
      </c>
      <c r="F213" t="s">
        <v>670</v>
      </c>
    </row>
    <row r="214" spans="1:6" ht="15.5" x14ac:dyDescent="0.35">
      <c r="A214" s="3" t="s">
        <v>339</v>
      </c>
      <c r="B214" s="3">
        <v>1.41</v>
      </c>
      <c r="C214" s="2">
        <v>80.08</v>
      </c>
      <c r="D214" s="2">
        <v>61.74</v>
      </c>
      <c r="E214" t="s">
        <v>339</v>
      </c>
      <c r="F214" t="s">
        <v>668</v>
      </c>
    </row>
    <row r="215" spans="1:6" ht="15.5" x14ac:dyDescent="0.35">
      <c r="A215" s="3" t="s">
        <v>236</v>
      </c>
      <c r="B215" s="3">
        <v>6.52</v>
      </c>
      <c r="C215" s="2">
        <v>78.63</v>
      </c>
      <c r="D215" s="2">
        <v>45.36</v>
      </c>
      <c r="E215" t="s">
        <v>236</v>
      </c>
      <c r="F215" t="s">
        <v>670</v>
      </c>
    </row>
    <row r="216" spans="1:6" ht="15.5" x14ac:dyDescent="0.35">
      <c r="A216" s="3" t="s">
        <v>131</v>
      </c>
      <c r="B216" s="3">
        <v>4.51</v>
      </c>
      <c r="C216" s="2">
        <v>84.89</v>
      </c>
      <c r="D216" s="2">
        <v>52.02</v>
      </c>
      <c r="E216" t="s">
        <v>131</v>
      </c>
      <c r="F216" t="s">
        <v>682</v>
      </c>
    </row>
    <row r="217" spans="1:6" ht="15.5" x14ac:dyDescent="0.35">
      <c r="A217" s="3" t="s">
        <v>514</v>
      </c>
      <c r="B217" s="3">
        <v>4.25</v>
      </c>
      <c r="C217" s="2">
        <v>80.39</v>
      </c>
      <c r="D217" s="2">
        <v>50.95</v>
      </c>
      <c r="E217" t="s">
        <v>514</v>
      </c>
      <c r="F217" t="s">
        <v>510</v>
      </c>
    </row>
    <row r="218" spans="1:6" ht="15.5" x14ac:dyDescent="0.35">
      <c r="A218" s="3" t="s">
        <v>98</v>
      </c>
      <c r="B218" s="3">
        <v>3.29</v>
      </c>
      <c r="C218" s="2">
        <v>77.64</v>
      </c>
      <c r="D218" s="2">
        <v>65.12</v>
      </c>
      <c r="E218" t="s">
        <v>98</v>
      </c>
      <c r="F218" t="s">
        <v>666</v>
      </c>
    </row>
    <row r="219" spans="1:6" ht="15.5" x14ac:dyDescent="0.35">
      <c r="A219" s="3" t="s">
        <v>210</v>
      </c>
      <c r="B219" s="3">
        <v>6.02</v>
      </c>
      <c r="C219" s="2">
        <v>79.239999999999995</v>
      </c>
      <c r="D219" s="2">
        <v>48.2</v>
      </c>
      <c r="E219" t="s">
        <v>701</v>
      </c>
      <c r="F219" t="s">
        <v>663</v>
      </c>
    </row>
    <row r="220" spans="1:6" ht="15.5" x14ac:dyDescent="0.35">
      <c r="A220" s="3" t="s">
        <v>209</v>
      </c>
      <c r="B220" s="3">
        <v>6.09</v>
      </c>
      <c r="C220" s="2">
        <v>79.650000000000006</v>
      </c>
      <c r="D220" s="2">
        <v>50.65</v>
      </c>
      <c r="E220" t="s">
        <v>702</v>
      </c>
      <c r="F220" t="s">
        <v>663</v>
      </c>
    </row>
    <row r="221" spans="1:6" ht="15.5" x14ac:dyDescent="0.35">
      <c r="A221" s="3" t="s">
        <v>207</v>
      </c>
      <c r="B221" s="3">
        <v>5.09</v>
      </c>
      <c r="C221" s="2">
        <v>78.91</v>
      </c>
      <c r="D221" s="2">
        <v>50.38</v>
      </c>
      <c r="E221" t="s">
        <v>703</v>
      </c>
      <c r="F221" t="s">
        <v>663</v>
      </c>
    </row>
    <row r="222" spans="1:6" ht="15.5" x14ac:dyDescent="0.35">
      <c r="A222" s="3" t="s">
        <v>208</v>
      </c>
      <c r="B222" s="3">
        <v>6.78</v>
      </c>
      <c r="C222" s="2">
        <v>78.91</v>
      </c>
      <c r="D222" s="2">
        <v>49.48</v>
      </c>
      <c r="E222" t="s">
        <v>704</v>
      </c>
      <c r="F222" t="s">
        <v>663</v>
      </c>
    </row>
    <row r="223" spans="1:6" ht="15.5" x14ac:dyDescent="0.35">
      <c r="A223" s="3" t="s">
        <v>211</v>
      </c>
      <c r="B223" s="3">
        <v>6.02</v>
      </c>
      <c r="C223" s="2">
        <v>82.39</v>
      </c>
      <c r="D223" s="2">
        <v>52.05</v>
      </c>
      <c r="E223" t="s">
        <v>705</v>
      </c>
      <c r="F223" t="s">
        <v>663</v>
      </c>
    </row>
    <row r="224" spans="1:6" ht="15.5" x14ac:dyDescent="0.35">
      <c r="A224" s="3" t="s">
        <v>142</v>
      </c>
      <c r="B224" s="3">
        <v>7.08</v>
      </c>
      <c r="C224" s="2">
        <v>80.38</v>
      </c>
      <c r="D224" s="2">
        <v>51.88</v>
      </c>
      <c r="E224" t="s">
        <v>142</v>
      </c>
      <c r="F224" t="s">
        <v>681</v>
      </c>
    </row>
    <row r="225" spans="1:6" ht="15.5" x14ac:dyDescent="0.35">
      <c r="A225" s="3" t="s">
        <v>589</v>
      </c>
      <c r="B225" s="3">
        <v>7.68</v>
      </c>
      <c r="C225" s="2">
        <v>74.5</v>
      </c>
      <c r="D225" s="2" t="s">
        <v>604</v>
      </c>
      <c r="E225" t="s">
        <v>589</v>
      </c>
      <c r="F225" t="s">
        <v>686</v>
      </c>
    </row>
    <row r="226" spans="1:6" ht="15.5" x14ac:dyDescent="0.35">
      <c r="A226" s="3" t="s">
        <v>312</v>
      </c>
      <c r="B226" s="3">
        <v>3.76</v>
      </c>
      <c r="C226" s="2">
        <v>81.42</v>
      </c>
      <c r="D226" s="2">
        <v>59.93</v>
      </c>
      <c r="E226" t="s">
        <v>312</v>
      </c>
      <c r="F226" t="s">
        <v>673</v>
      </c>
    </row>
    <row r="227" spans="1:6" ht="15.5" x14ac:dyDescent="0.35">
      <c r="A227" s="3" t="s">
        <v>506</v>
      </c>
      <c r="B227" s="3">
        <v>5.94</v>
      </c>
      <c r="C227" s="2">
        <v>78.3</v>
      </c>
      <c r="D227" s="2">
        <v>54.64</v>
      </c>
      <c r="E227" t="s">
        <v>506</v>
      </c>
      <c r="F227" t="s">
        <v>690</v>
      </c>
    </row>
    <row r="228" spans="1:6" ht="15.5" x14ac:dyDescent="0.35">
      <c r="A228" s="3" t="s">
        <v>450</v>
      </c>
      <c r="B228" s="3">
        <v>5.97</v>
      </c>
      <c r="C228" s="2">
        <v>86.45</v>
      </c>
      <c r="D228" s="2">
        <v>57.59</v>
      </c>
      <c r="E228" t="s">
        <v>450</v>
      </c>
      <c r="F228" t="s">
        <v>689</v>
      </c>
    </row>
    <row r="229" spans="1:6" ht="15.5" x14ac:dyDescent="0.35">
      <c r="A229" s="3" t="s">
        <v>373</v>
      </c>
      <c r="B229" s="3">
        <v>8.61</v>
      </c>
      <c r="C229" s="2">
        <v>80.87</v>
      </c>
      <c r="D229" s="2">
        <v>55.76</v>
      </c>
      <c r="E229" t="s">
        <v>373</v>
      </c>
      <c r="F229" t="s">
        <v>665</v>
      </c>
    </row>
    <row r="230" spans="1:6" ht="15.5" x14ac:dyDescent="0.35">
      <c r="A230" s="3" t="s">
        <v>62</v>
      </c>
      <c r="B230" s="3">
        <v>7.31</v>
      </c>
      <c r="C230" s="2">
        <v>80.2</v>
      </c>
      <c r="D230" s="2">
        <v>40.659999999999997</v>
      </c>
      <c r="E230" t="s">
        <v>62</v>
      </c>
      <c r="F230" t="s">
        <v>661</v>
      </c>
    </row>
    <row r="231" spans="1:6" ht="15.5" x14ac:dyDescent="0.35">
      <c r="A231" s="3" t="s">
        <v>63</v>
      </c>
      <c r="B231" s="3">
        <v>8.24</v>
      </c>
      <c r="C231" s="2">
        <v>79.61</v>
      </c>
      <c r="D231" s="2">
        <v>49.98</v>
      </c>
      <c r="E231" t="s">
        <v>63</v>
      </c>
      <c r="F231" t="s">
        <v>661</v>
      </c>
    </row>
    <row r="232" spans="1:6" ht="15.5" x14ac:dyDescent="0.35">
      <c r="A232" s="3" t="s">
        <v>161</v>
      </c>
      <c r="B232" s="3">
        <v>5.01</v>
      </c>
      <c r="C232" s="2">
        <v>82.6</v>
      </c>
      <c r="D232" s="2">
        <v>60.69</v>
      </c>
      <c r="E232" t="s">
        <v>710</v>
      </c>
      <c r="F232" t="s">
        <v>678</v>
      </c>
    </row>
    <row r="233" spans="1:6" ht="15.5" x14ac:dyDescent="0.35">
      <c r="A233" s="3" t="s">
        <v>318</v>
      </c>
      <c r="B233" s="3">
        <v>4.29</v>
      </c>
      <c r="C233" s="2">
        <v>80.39</v>
      </c>
      <c r="D233" s="2">
        <v>62.59</v>
      </c>
      <c r="E233" t="s">
        <v>318</v>
      </c>
      <c r="F233" t="s">
        <v>673</v>
      </c>
    </row>
    <row r="234" spans="1:6" ht="15.5" x14ac:dyDescent="0.35">
      <c r="A234" s="3" t="s">
        <v>270</v>
      </c>
      <c r="B234" s="3">
        <v>4.3099999999999996</v>
      </c>
      <c r="C234" s="2">
        <v>76.099999999999994</v>
      </c>
      <c r="D234" s="2">
        <v>59.5</v>
      </c>
      <c r="E234" t="s">
        <v>270</v>
      </c>
      <c r="F234" t="s">
        <v>674</v>
      </c>
    </row>
    <row r="235" spans="1:6" ht="15.5" x14ac:dyDescent="0.35">
      <c r="A235" s="3" t="s">
        <v>487</v>
      </c>
      <c r="B235" s="3">
        <v>9.6</v>
      </c>
      <c r="C235" s="2">
        <v>77.5</v>
      </c>
      <c r="D235" s="2">
        <v>44.26</v>
      </c>
      <c r="E235" t="s">
        <v>711</v>
      </c>
      <c r="F235" t="s">
        <v>675</v>
      </c>
    </row>
    <row r="236" spans="1:6" ht="15.5" x14ac:dyDescent="0.35">
      <c r="A236" s="3" t="s">
        <v>314</v>
      </c>
      <c r="B236" s="3">
        <v>5.69</v>
      </c>
      <c r="C236" s="2">
        <v>79.349999999999994</v>
      </c>
      <c r="D236" s="2">
        <v>60.62</v>
      </c>
      <c r="E236" t="s">
        <v>314</v>
      </c>
      <c r="F236" t="s">
        <v>673</v>
      </c>
    </row>
    <row r="237" spans="1:6" ht="15.5" x14ac:dyDescent="0.35">
      <c r="A237" s="3" t="s">
        <v>447</v>
      </c>
      <c r="B237" s="3">
        <v>8.51</v>
      </c>
      <c r="C237" s="2">
        <v>79.400000000000006</v>
      </c>
      <c r="D237" s="2">
        <v>49.99</v>
      </c>
      <c r="E237" t="s">
        <v>447</v>
      </c>
      <c r="F237" t="s">
        <v>689</v>
      </c>
    </row>
    <row r="238" spans="1:6" ht="15.5" x14ac:dyDescent="0.35">
      <c r="A238" s="3" t="s">
        <v>349</v>
      </c>
      <c r="B238" s="3">
        <v>4.8</v>
      </c>
      <c r="C238" s="2">
        <v>79.91</v>
      </c>
      <c r="D238" s="2">
        <v>62.06</v>
      </c>
      <c r="E238" t="s">
        <v>349</v>
      </c>
      <c r="F238" t="s">
        <v>687</v>
      </c>
    </row>
    <row r="239" spans="1:6" ht="15.5" x14ac:dyDescent="0.35">
      <c r="A239" s="3" t="s">
        <v>95</v>
      </c>
      <c r="B239" s="3">
        <v>7.99</v>
      </c>
      <c r="C239" s="2">
        <v>78.86</v>
      </c>
      <c r="D239" s="2">
        <v>52.79</v>
      </c>
      <c r="E239" t="s">
        <v>95</v>
      </c>
      <c r="F239" t="s">
        <v>666</v>
      </c>
    </row>
    <row r="240" spans="1:6" ht="15.5" x14ac:dyDescent="0.35">
      <c r="A240" s="3" t="s">
        <v>188</v>
      </c>
      <c r="B240" s="3">
        <v>3.54</v>
      </c>
      <c r="C240" s="2">
        <v>82.85</v>
      </c>
      <c r="D240" s="2">
        <v>56.79</v>
      </c>
      <c r="E240" t="s">
        <v>188</v>
      </c>
      <c r="F240" t="s">
        <v>706</v>
      </c>
    </row>
    <row r="241" spans="1:6" ht="15.5" x14ac:dyDescent="0.35">
      <c r="A241" s="3" t="s">
        <v>317</v>
      </c>
      <c r="B241" s="3">
        <v>4.66</v>
      </c>
      <c r="C241" s="2">
        <v>82.48</v>
      </c>
      <c r="D241" s="2">
        <v>57.92</v>
      </c>
      <c r="E241" t="s">
        <v>317</v>
      </c>
      <c r="F241" t="s">
        <v>673</v>
      </c>
    </row>
    <row r="242" spans="1:6" ht="15.5" x14ac:dyDescent="0.35">
      <c r="A242" s="3" t="s">
        <v>112</v>
      </c>
      <c r="B242" s="3">
        <v>9.6999999999999993</v>
      </c>
      <c r="C242" s="2">
        <v>78.17</v>
      </c>
      <c r="D242" s="2">
        <v>56.45</v>
      </c>
      <c r="E242" t="s">
        <v>112</v>
      </c>
      <c r="F242" t="s">
        <v>664</v>
      </c>
    </row>
    <row r="243" spans="1:6" ht="15.5" x14ac:dyDescent="0.35">
      <c r="A243" s="3" t="s">
        <v>115</v>
      </c>
      <c r="B243" s="3">
        <v>5.07</v>
      </c>
      <c r="C243" s="2">
        <v>77.84</v>
      </c>
      <c r="D243" s="2">
        <v>60.59</v>
      </c>
      <c r="E243" t="s">
        <v>115</v>
      </c>
      <c r="F243" t="s">
        <v>664</v>
      </c>
    </row>
    <row r="244" spans="1:6" ht="15.5" x14ac:dyDescent="0.35">
      <c r="A244" s="3" t="s">
        <v>97</v>
      </c>
      <c r="B244" s="3">
        <v>7</v>
      </c>
      <c r="C244" s="2">
        <v>80.47</v>
      </c>
      <c r="D244" s="2">
        <v>58.78</v>
      </c>
      <c r="E244" t="s">
        <v>712</v>
      </c>
      <c r="F244" t="s">
        <v>666</v>
      </c>
    </row>
    <row r="245" spans="1:6" ht="15.5" x14ac:dyDescent="0.35">
      <c r="A245" s="3" t="s">
        <v>160</v>
      </c>
      <c r="B245" s="3">
        <v>2.19</v>
      </c>
      <c r="C245" s="2">
        <v>88.81</v>
      </c>
      <c r="D245" s="2">
        <v>68.739999999999995</v>
      </c>
      <c r="E245" t="s">
        <v>160</v>
      </c>
      <c r="F245" t="s">
        <v>678</v>
      </c>
    </row>
    <row r="246" spans="1:6" ht="15.5" x14ac:dyDescent="0.35">
      <c r="A246" s="3" t="s">
        <v>403</v>
      </c>
      <c r="B246" s="3">
        <v>5.23</v>
      </c>
      <c r="C246" s="2">
        <v>80.56</v>
      </c>
      <c r="D246" s="2">
        <v>51.11</v>
      </c>
      <c r="E246" t="s">
        <v>713</v>
      </c>
      <c r="F246" t="s">
        <v>679</v>
      </c>
    </row>
    <row r="247" spans="1:6" ht="15.5" x14ac:dyDescent="0.35">
      <c r="A247" s="3" t="s">
        <v>158</v>
      </c>
      <c r="B247" s="3">
        <v>6.81</v>
      </c>
      <c r="C247" s="2">
        <v>78.069999999999993</v>
      </c>
      <c r="D247" s="2">
        <v>48.09</v>
      </c>
      <c r="E247" t="s">
        <v>158</v>
      </c>
      <c r="F247" t="s">
        <v>678</v>
      </c>
    </row>
    <row r="248" spans="1:6" ht="15.5" x14ac:dyDescent="0.35">
      <c r="A248" s="3" t="s">
        <v>489</v>
      </c>
      <c r="B248" s="3">
        <v>7.53</v>
      </c>
      <c r="C248" s="2">
        <v>78.790000000000006</v>
      </c>
      <c r="D248" s="2">
        <v>54.67</v>
      </c>
      <c r="E248" t="s">
        <v>489</v>
      </c>
      <c r="F248" t="s">
        <v>675</v>
      </c>
    </row>
    <row r="249" spans="1:6" ht="15.5" x14ac:dyDescent="0.35">
      <c r="A249" s="3" t="s">
        <v>464</v>
      </c>
      <c r="B249" s="3">
        <v>5.59</v>
      </c>
      <c r="C249" s="2">
        <v>79.56</v>
      </c>
      <c r="D249" s="2">
        <v>61.63</v>
      </c>
      <c r="E249" t="s">
        <v>464</v>
      </c>
      <c r="F249" t="s">
        <v>671</v>
      </c>
    </row>
    <row r="250" spans="1:6" ht="15.5" x14ac:dyDescent="0.35">
      <c r="A250" s="3" t="s">
        <v>196</v>
      </c>
      <c r="B250" s="3">
        <v>5.73</v>
      </c>
      <c r="C250" s="2">
        <v>80.290000000000006</v>
      </c>
      <c r="D250" s="2">
        <v>53.71</v>
      </c>
      <c r="E250" t="s">
        <v>196</v>
      </c>
      <c r="F250" t="s">
        <v>672</v>
      </c>
    </row>
    <row r="251" spans="1:6" ht="15.5" x14ac:dyDescent="0.35">
      <c r="A251" s="3" t="s">
        <v>488</v>
      </c>
      <c r="B251" s="3">
        <v>4.9800000000000004</v>
      </c>
      <c r="C251" s="2">
        <v>78.930000000000007</v>
      </c>
      <c r="D251" s="2">
        <v>55.67</v>
      </c>
      <c r="E251" t="s">
        <v>488</v>
      </c>
      <c r="F251" t="s">
        <v>675</v>
      </c>
    </row>
    <row r="252" spans="1:6" ht="15.5" x14ac:dyDescent="0.35">
      <c r="A252" s="3" t="s">
        <v>118</v>
      </c>
      <c r="B252" s="3">
        <v>5.16</v>
      </c>
      <c r="C252" s="2">
        <v>82.54</v>
      </c>
      <c r="D252" s="2">
        <v>63.28</v>
      </c>
      <c r="E252" t="s">
        <v>118</v>
      </c>
      <c r="F252" t="s">
        <v>664</v>
      </c>
    </row>
    <row r="253" spans="1:6" ht="15.5" x14ac:dyDescent="0.35">
      <c r="A253" s="3" t="s">
        <v>316</v>
      </c>
      <c r="B253" s="3">
        <v>4.59</v>
      </c>
      <c r="C253" s="2">
        <v>84.65</v>
      </c>
      <c r="D253" s="2">
        <v>66.72</v>
      </c>
      <c r="E253" t="s">
        <v>316</v>
      </c>
      <c r="F253" t="s">
        <v>673</v>
      </c>
    </row>
    <row r="254" spans="1:6" ht="15.5" x14ac:dyDescent="0.35">
      <c r="A254" s="3" t="s">
        <v>117</v>
      </c>
      <c r="B254" s="3">
        <v>4.96</v>
      </c>
      <c r="C254" s="2">
        <v>81.38</v>
      </c>
      <c r="D254" s="2">
        <v>62.51</v>
      </c>
      <c r="E254" t="s">
        <v>117</v>
      </c>
      <c r="F254" t="s">
        <v>664</v>
      </c>
    </row>
    <row r="255" spans="1:6" ht="15.5" x14ac:dyDescent="0.35">
      <c r="A255" s="3" t="s">
        <v>274</v>
      </c>
      <c r="B255" s="3">
        <v>4.83</v>
      </c>
      <c r="C255" s="2">
        <v>85.19</v>
      </c>
      <c r="D255" s="2">
        <v>65.38</v>
      </c>
      <c r="E255" t="s">
        <v>274</v>
      </c>
      <c r="F255" t="s">
        <v>674</v>
      </c>
    </row>
    <row r="256" spans="1:6" ht="15.5" x14ac:dyDescent="0.35">
      <c r="A256" s="3" t="s">
        <v>130</v>
      </c>
      <c r="B256" s="3">
        <v>5.24</v>
      </c>
      <c r="C256" s="2">
        <v>81.55</v>
      </c>
      <c r="D256" s="2">
        <v>55.63</v>
      </c>
      <c r="E256" t="s">
        <v>130</v>
      </c>
      <c r="F256" t="s">
        <v>682</v>
      </c>
    </row>
    <row r="257" spans="1:6" ht="15.5" x14ac:dyDescent="0.35">
      <c r="A257" s="3" t="s">
        <v>93</v>
      </c>
      <c r="B257" s="3">
        <v>7.74</v>
      </c>
      <c r="C257" s="2">
        <v>83.67</v>
      </c>
      <c r="D257" s="2">
        <v>64.19</v>
      </c>
      <c r="E257" t="s">
        <v>714</v>
      </c>
      <c r="F257" t="s">
        <v>666</v>
      </c>
    </row>
    <row r="258" spans="1:6" ht="15.5" x14ac:dyDescent="0.35">
      <c r="A258" s="3" t="s">
        <v>387</v>
      </c>
      <c r="B258" s="3">
        <v>7.91</v>
      </c>
      <c r="C258" s="2">
        <v>76.25</v>
      </c>
      <c r="D258" s="2">
        <v>47.5</v>
      </c>
      <c r="E258" t="s">
        <v>387</v>
      </c>
      <c r="F258" t="s">
        <v>683</v>
      </c>
    </row>
    <row r="259" spans="1:6" ht="15.5" x14ac:dyDescent="0.35">
      <c r="A259" s="3" t="s">
        <v>159</v>
      </c>
      <c r="B259" s="3">
        <v>4.72</v>
      </c>
      <c r="C259" s="2">
        <v>82.64</v>
      </c>
      <c r="D259" s="2">
        <v>56.72</v>
      </c>
      <c r="E259" t="s">
        <v>159</v>
      </c>
      <c r="F259" t="s">
        <v>678</v>
      </c>
    </row>
    <row r="260" spans="1:6" ht="15.5" x14ac:dyDescent="0.35">
      <c r="A260" s="3" t="s">
        <v>315</v>
      </c>
      <c r="B260" s="3">
        <v>4.93</v>
      </c>
      <c r="C260" s="2">
        <v>81.290000000000006</v>
      </c>
      <c r="D260" s="2">
        <v>55.97</v>
      </c>
      <c r="E260" t="s">
        <v>315</v>
      </c>
      <c r="F260" t="s">
        <v>673</v>
      </c>
    </row>
    <row r="261" spans="1:6" ht="15.5" x14ac:dyDescent="0.35">
      <c r="A261" s="3" t="s">
        <v>61</v>
      </c>
      <c r="B261" s="3">
        <v>2.67</v>
      </c>
      <c r="C261" s="2">
        <v>79.87</v>
      </c>
      <c r="D261" s="2">
        <v>56.02</v>
      </c>
      <c r="E261" t="s">
        <v>61</v>
      </c>
      <c r="F261" t="s">
        <v>661</v>
      </c>
    </row>
    <row r="262" spans="1:6" ht="15.5" x14ac:dyDescent="0.35">
      <c r="A262" s="3" t="s">
        <v>272</v>
      </c>
      <c r="B262" s="3">
        <v>3.67</v>
      </c>
      <c r="C262" s="2">
        <v>79.930000000000007</v>
      </c>
      <c r="D262" s="2">
        <v>62.3</v>
      </c>
      <c r="E262" t="s">
        <v>272</v>
      </c>
      <c r="F262" t="s">
        <v>674</v>
      </c>
    </row>
    <row r="263" spans="1:6" ht="15.5" x14ac:dyDescent="0.35">
      <c r="A263" s="3" t="s">
        <v>427</v>
      </c>
      <c r="B263" s="3">
        <v>5.31</v>
      </c>
      <c r="C263" s="2">
        <v>79.989999999999995</v>
      </c>
      <c r="D263" s="2">
        <v>46.7</v>
      </c>
      <c r="E263" t="s">
        <v>427</v>
      </c>
      <c r="F263" t="s">
        <v>685</v>
      </c>
    </row>
    <row r="264" spans="1:6" ht="15.5" x14ac:dyDescent="0.35">
      <c r="A264" s="3" t="s">
        <v>114</v>
      </c>
      <c r="B264" s="3">
        <v>4.6399999999999997</v>
      </c>
      <c r="C264" s="2">
        <v>83.1</v>
      </c>
      <c r="D264" s="2">
        <v>64.900000000000006</v>
      </c>
      <c r="E264" t="s">
        <v>715</v>
      </c>
      <c r="F264" t="s">
        <v>664</v>
      </c>
    </row>
    <row r="265" spans="1:6" ht="15.5" x14ac:dyDescent="0.35">
      <c r="A265" s="3" t="s">
        <v>273</v>
      </c>
      <c r="B265" s="3">
        <v>5.65</v>
      </c>
      <c r="C265" s="2">
        <v>81.61</v>
      </c>
      <c r="D265" s="2">
        <v>63.95</v>
      </c>
      <c r="E265" t="s">
        <v>273</v>
      </c>
      <c r="F265" t="s">
        <v>674</v>
      </c>
    </row>
    <row r="266" spans="1:6" ht="15.5" x14ac:dyDescent="0.35">
      <c r="A266" s="3" t="s">
        <v>328</v>
      </c>
      <c r="B266" s="3">
        <v>6.95</v>
      </c>
      <c r="C266" s="2">
        <v>82.16</v>
      </c>
      <c r="D266" s="2">
        <v>52.51</v>
      </c>
      <c r="E266" t="s">
        <v>328</v>
      </c>
      <c r="F266" t="s">
        <v>709</v>
      </c>
    </row>
    <row r="267" spans="1:6" ht="15.5" x14ac:dyDescent="0.35">
      <c r="A267" s="3" t="s">
        <v>91</v>
      </c>
      <c r="B267" s="3">
        <v>6.44</v>
      </c>
      <c r="C267" s="2">
        <v>82.71</v>
      </c>
      <c r="D267" s="2">
        <v>55.47</v>
      </c>
      <c r="E267" t="s">
        <v>91</v>
      </c>
      <c r="F267" t="s">
        <v>666</v>
      </c>
    </row>
    <row r="268" spans="1:6" ht="15.5" x14ac:dyDescent="0.35">
      <c r="A268" s="3" t="s">
        <v>388</v>
      </c>
      <c r="B268" s="3">
        <v>7.42</v>
      </c>
      <c r="C268" s="2">
        <v>81.17</v>
      </c>
      <c r="D268" s="2">
        <v>49.96</v>
      </c>
      <c r="E268" t="s">
        <v>388</v>
      </c>
      <c r="F268" t="s">
        <v>683</v>
      </c>
    </row>
    <row r="269" spans="1:6" ht="15.5" x14ac:dyDescent="0.35">
      <c r="A269" s="3" t="s">
        <v>113</v>
      </c>
      <c r="B269" s="3">
        <v>3.87</v>
      </c>
      <c r="C269" s="2">
        <v>81.89</v>
      </c>
      <c r="D269" s="2">
        <v>58.72</v>
      </c>
      <c r="E269" t="s">
        <v>113</v>
      </c>
      <c r="F269" t="s">
        <v>664</v>
      </c>
    </row>
    <row r="270" spans="1:6" ht="15.5" x14ac:dyDescent="0.35">
      <c r="A270" s="3" t="s">
        <v>558</v>
      </c>
      <c r="B270" s="3">
        <v>10.35</v>
      </c>
      <c r="C270" s="2">
        <v>78.61</v>
      </c>
      <c r="D270" s="2">
        <v>49.02</v>
      </c>
      <c r="E270" t="s">
        <v>558</v>
      </c>
      <c r="F270" t="s">
        <v>716</v>
      </c>
    </row>
    <row r="271" spans="1:6" ht="15.5" x14ac:dyDescent="0.35">
      <c r="A271" s="3" t="s">
        <v>64</v>
      </c>
      <c r="B271" s="3">
        <v>4.87</v>
      </c>
      <c r="C271" s="2">
        <v>85.84</v>
      </c>
      <c r="D271" s="2">
        <v>49.8</v>
      </c>
      <c r="E271" t="s">
        <v>64</v>
      </c>
      <c r="F271" t="s">
        <v>661</v>
      </c>
    </row>
    <row r="272" spans="1:6" ht="15.5" x14ac:dyDescent="0.35">
      <c r="A272" s="3" t="s">
        <v>232</v>
      </c>
      <c r="B272" s="3">
        <v>8.19</v>
      </c>
      <c r="C272" s="2">
        <v>81.84</v>
      </c>
      <c r="D272" s="2">
        <v>49.7</v>
      </c>
      <c r="E272" t="s">
        <v>232</v>
      </c>
      <c r="F272" t="s">
        <v>670</v>
      </c>
    </row>
    <row r="273" spans="1:6" ht="15.5" x14ac:dyDescent="0.35">
      <c r="A273" s="3" t="s">
        <v>143</v>
      </c>
      <c r="B273" s="3">
        <v>4.09</v>
      </c>
      <c r="C273" s="2">
        <v>80.55</v>
      </c>
      <c r="D273" s="2">
        <v>57.45</v>
      </c>
      <c r="E273" t="s">
        <v>143</v>
      </c>
      <c r="F273" t="s">
        <v>681</v>
      </c>
    </row>
    <row r="274" spans="1:6" ht="15.5" x14ac:dyDescent="0.35">
      <c r="A274" s="3" t="s">
        <v>319</v>
      </c>
      <c r="B274" s="3">
        <v>4.84</v>
      </c>
      <c r="C274" s="2">
        <v>81.42</v>
      </c>
      <c r="D274" s="2">
        <v>60.16</v>
      </c>
      <c r="E274" t="s">
        <v>319</v>
      </c>
      <c r="F274" t="s">
        <v>673</v>
      </c>
    </row>
    <row r="275" spans="1:6" ht="15.5" x14ac:dyDescent="0.35">
      <c r="A275" s="3" t="s">
        <v>271</v>
      </c>
      <c r="B275" s="3">
        <v>4.5</v>
      </c>
      <c r="C275" s="2">
        <v>79.94</v>
      </c>
      <c r="D275" s="2">
        <v>61.86</v>
      </c>
      <c r="E275" t="s">
        <v>271</v>
      </c>
      <c r="F275" t="s">
        <v>674</v>
      </c>
    </row>
    <row r="276" spans="1:6" ht="15.5" x14ac:dyDescent="0.35">
      <c r="A276" s="3" t="s">
        <v>326</v>
      </c>
      <c r="B276" s="3">
        <v>5.88</v>
      </c>
      <c r="C276" s="2">
        <v>79.78</v>
      </c>
      <c r="D276" s="2">
        <v>48.7</v>
      </c>
      <c r="E276" t="s">
        <v>326</v>
      </c>
      <c r="F276" t="s">
        <v>709</v>
      </c>
    </row>
    <row r="277" spans="1:6" ht="15.5" x14ac:dyDescent="0.35">
      <c r="A277" s="3" t="s">
        <v>329</v>
      </c>
      <c r="B277" s="3">
        <v>4.13</v>
      </c>
      <c r="C277" s="2">
        <v>77.239999999999995</v>
      </c>
      <c r="D277" s="2">
        <v>43.93</v>
      </c>
      <c r="E277" t="s">
        <v>329</v>
      </c>
      <c r="F277" t="s">
        <v>709</v>
      </c>
    </row>
    <row r="278" spans="1:6" ht="15.5" x14ac:dyDescent="0.35">
      <c r="A278" s="3" t="s">
        <v>92</v>
      </c>
      <c r="B278" s="3">
        <v>3.81</v>
      </c>
      <c r="C278" s="2">
        <v>86.16</v>
      </c>
      <c r="D278" s="2">
        <v>59.59</v>
      </c>
      <c r="E278" t="s">
        <v>92</v>
      </c>
      <c r="F278" t="s">
        <v>666</v>
      </c>
    </row>
    <row r="279" spans="1:6" ht="15.5" x14ac:dyDescent="0.35">
      <c r="A279" s="3" t="s">
        <v>204</v>
      </c>
      <c r="B279" s="3">
        <v>4.72</v>
      </c>
      <c r="C279" s="2">
        <v>80.67</v>
      </c>
      <c r="D279" s="2">
        <v>54.26</v>
      </c>
      <c r="E279" t="s">
        <v>204</v>
      </c>
      <c r="F279" t="s">
        <v>688</v>
      </c>
    </row>
    <row r="280" spans="1:6" ht="15.5" x14ac:dyDescent="0.35">
      <c r="A280" s="3" t="s">
        <v>434</v>
      </c>
      <c r="B280" s="3">
        <v>5.0599999999999996</v>
      </c>
      <c r="C280" s="2">
        <v>80.06</v>
      </c>
      <c r="D280" s="2">
        <v>42.97</v>
      </c>
      <c r="E280" t="s">
        <v>434</v>
      </c>
      <c r="F280" t="s">
        <v>691</v>
      </c>
    </row>
    <row r="281" spans="1:6" ht="15.5" x14ac:dyDescent="0.35">
      <c r="A281" s="3" t="s">
        <v>238</v>
      </c>
      <c r="B281" s="3">
        <v>6.43</v>
      </c>
      <c r="C281" s="2">
        <v>81.180000000000007</v>
      </c>
      <c r="D281" s="2">
        <v>51.18</v>
      </c>
      <c r="E281" t="s">
        <v>238</v>
      </c>
      <c r="F281" t="s">
        <v>670</v>
      </c>
    </row>
    <row r="282" spans="1:6" ht="15.5" x14ac:dyDescent="0.35">
      <c r="A282" s="3" t="s">
        <v>94</v>
      </c>
      <c r="B282" s="3">
        <v>5.99</v>
      </c>
      <c r="C282" s="2">
        <v>87.58</v>
      </c>
      <c r="D282" s="2">
        <v>56.51</v>
      </c>
      <c r="E282" t="s">
        <v>94</v>
      </c>
      <c r="F282" t="s">
        <v>666</v>
      </c>
    </row>
    <row r="283" spans="1:6" ht="15.5" x14ac:dyDescent="0.35">
      <c r="A283" s="3" t="s">
        <v>275</v>
      </c>
      <c r="B283" s="3">
        <v>5.82</v>
      </c>
      <c r="C283" s="2">
        <v>79.48</v>
      </c>
      <c r="D283" s="2">
        <v>58.06</v>
      </c>
      <c r="E283" t="s">
        <v>275</v>
      </c>
      <c r="F283" t="s">
        <v>674</v>
      </c>
    </row>
    <row r="284" spans="1:6" ht="15.5" x14ac:dyDescent="0.35">
      <c r="A284" s="3" t="s">
        <v>543</v>
      </c>
      <c r="B284" s="3">
        <v>6.92</v>
      </c>
      <c r="C284" s="2">
        <v>79.19</v>
      </c>
      <c r="D284" s="2">
        <v>48.46</v>
      </c>
      <c r="E284" t="s">
        <v>543</v>
      </c>
      <c r="F284" t="s">
        <v>697</v>
      </c>
    </row>
    <row r="285" spans="1:6" ht="15.5" x14ac:dyDescent="0.35">
      <c r="A285" s="3" t="s">
        <v>544</v>
      </c>
      <c r="B285" s="3">
        <v>4.0199999999999996</v>
      </c>
      <c r="C285" s="2">
        <v>86.32</v>
      </c>
      <c r="D285" s="2">
        <v>53.16</v>
      </c>
      <c r="E285" t="s">
        <v>544</v>
      </c>
      <c r="F285" t="s">
        <v>697</v>
      </c>
    </row>
    <row r="286" spans="1:6" ht="15.5" x14ac:dyDescent="0.35">
      <c r="A286" s="3" t="s">
        <v>449</v>
      </c>
      <c r="B286" s="3">
        <v>7.8</v>
      </c>
      <c r="C286" s="2">
        <v>79.58</v>
      </c>
      <c r="D286" s="2">
        <v>49.15</v>
      </c>
      <c r="E286" t="s">
        <v>449</v>
      </c>
      <c r="F286" t="s">
        <v>689</v>
      </c>
    </row>
    <row r="287" spans="1:6" ht="15.5" x14ac:dyDescent="0.35">
      <c r="A287" s="3" t="s">
        <v>533</v>
      </c>
      <c r="B287" s="3">
        <v>8.9600000000000009</v>
      </c>
      <c r="C287" s="2">
        <v>76.7</v>
      </c>
      <c r="D287" s="2">
        <v>44.74</v>
      </c>
      <c r="E287" t="s">
        <v>533</v>
      </c>
      <c r="F287" t="s">
        <v>692</v>
      </c>
    </row>
    <row r="288" spans="1:6" ht="15.5" x14ac:dyDescent="0.35">
      <c r="A288" s="3" t="s">
        <v>281</v>
      </c>
      <c r="B288" s="3">
        <v>5.72</v>
      </c>
      <c r="C288" s="2">
        <v>78.77</v>
      </c>
      <c r="D288" s="2">
        <v>63.85</v>
      </c>
      <c r="E288" t="s">
        <v>281</v>
      </c>
      <c r="F288" t="s">
        <v>676</v>
      </c>
    </row>
    <row r="289" spans="1:6" ht="15.5" x14ac:dyDescent="0.35">
      <c r="A289" s="3" t="s">
        <v>406</v>
      </c>
      <c r="B289" s="3">
        <v>5.93</v>
      </c>
      <c r="C289" s="2">
        <v>85.17</v>
      </c>
      <c r="D289" s="2">
        <v>44.26</v>
      </c>
      <c r="E289" t="s">
        <v>406</v>
      </c>
      <c r="F289" t="s">
        <v>669</v>
      </c>
    </row>
    <row r="290" spans="1:6" ht="15.5" x14ac:dyDescent="0.35">
      <c r="A290" s="3" t="s">
        <v>390</v>
      </c>
      <c r="B290" s="3">
        <v>4.3899999999999997</v>
      </c>
      <c r="C290" s="2">
        <v>86.56</v>
      </c>
      <c r="D290" s="2">
        <v>51.44</v>
      </c>
      <c r="E290" t="s">
        <v>390</v>
      </c>
      <c r="F290" t="s">
        <v>679</v>
      </c>
    </row>
    <row r="291" spans="1:6" ht="15.5" x14ac:dyDescent="0.35">
      <c r="A291" s="3" t="s">
        <v>391</v>
      </c>
      <c r="B291" s="3">
        <v>4.5599999999999996</v>
      </c>
      <c r="C291" s="2">
        <v>86.65</v>
      </c>
      <c r="D291" s="2">
        <v>39.840000000000003</v>
      </c>
      <c r="E291" t="s">
        <v>391</v>
      </c>
      <c r="F291" t="s">
        <v>679</v>
      </c>
    </row>
    <row r="292" spans="1:6" ht="15.5" x14ac:dyDescent="0.35">
      <c r="A292" s="3" t="s">
        <v>120</v>
      </c>
      <c r="B292" s="3">
        <v>2.84</v>
      </c>
      <c r="C292" s="2">
        <v>84.77</v>
      </c>
      <c r="D292" s="2">
        <v>47.33</v>
      </c>
      <c r="E292" t="s">
        <v>120</v>
      </c>
      <c r="F292" t="s">
        <v>682</v>
      </c>
    </row>
    <row r="293" spans="1:6" ht="15.5" x14ac:dyDescent="0.35">
      <c r="A293" s="3" t="s">
        <v>386</v>
      </c>
      <c r="B293" s="3">
        <v>6.86</v>
      </c>
      <c r="C293" s="2">
        <v>86.02</v>
      </c>
      <c r="D293" s="2">
        <v>51.51</v>
      </c>
      <c r="E293" t="s">
        <v>386</v>
      </c>
      <c r="F293" t="s">
        <v>683</v>
      </c>
    </row>
    <row r="294" spans="1:6" ht="15.5" x14ac:dyDescent="0.35">
      <c r="A294" s="3" t="s">
        <v>259</v>
      </c>
      <c r="B294" s="3">
        <v>3.23</v>
      </c>
      <c r="C294" s="2">
        <v>84.84</v>
      </c>
      <c r="D294" s="2">
        <v>66.78</v>
      </c>
      <c r="E294" t="s">
        <v>259</v>
      </c>
      <c r="F294" t="s">
        <v>674</v>
      </c>
    </row>
    <row r="295" spans="1:6" ht="15.5" x14ac:dyDescent="0.35">
      <c r="A295" s="3" t="s">
        <v>277</v>
      </c>
      <c r="B295" s="3">
        <v>2.14</v>
      </c>
      <c r="C295" s="2">
        <v>85.35</v>
      </c>
      <c r="D295" s="2">
        <v>71.81</v>
      </c>
      <c r="E295" t="s">
        <v>277</v>
      </c>
      <c r="F295" t="s">
        <v>676</v>
      </c>
    </row>
    <row r="296" spans="1:6" ht="15.5" x14ac:dyDescent="0.35">
      <c r="A296" s="3" t="s">
        <v>220</v>
      </c>
      <c r="B296" s="3">
        <v>7.59</v>
      </c>
      <c r="C296" s="2">
        <v>86.65</v>
      </c>
      <c r="D296" s="2">
        <v>51.73</v>
      </c>
      <c r="E296" t="s">
        <v>220</v>
      </c>
      <c r="F296" t="s">
        <v>670</v>
      </c>
    </row>
    <row r="297" spans="1:6" ht="15.5" x14ac:dyDescent="0.35">
      <c r="A297" s="3" t="s">
        <v>354</v>
      </c>
      <c r="B297" s="3">
        <v>3.53</v>
      </c>
      <c r="C297" s="2">
        <v>83.45</v>
      </c>
      <c r="D297" s="2">
        <v>58.15</v>
      </c>
      <c r="E297" t="s">
        <v>354</v>
      </c>
      <c r="F297" t="s">
        <v>665</v>
      </c>
    </row>
    <row r="298" spans="1:6" ht="15.5" x14ac:dyDescent="0.35">
      <c r="A298" s="3" t="s">
        <v>420</v>
      </c>
      <c r="B298" s="3">
        <v>5.21</v>
      </c>
      <c r="C298" s="2">
        <v>85.16</v>
      </c>
      <c r="D298" s="2">
        <v>56.76</v>
      </c>
      <c r="E298" t="s">
        <v>420</v>
      </c>
      <c r="F298" t="s">
        <v>685</v>
      </c>
    </row>
    <row r="299" spans="1:6" ht="15.5" x14ac:dyDescent="0.35">
      <c r="A299" s="3" t="s">
        <v>421</v>
      </c>
      <c r="B299" s="3">
        <v>4.4000000000000004</v>
      </c>
      <c r="C299" s="2">
        <v>84.69</v>
      </c>
      <c r="D299" s="2">
        <v>44.38</v>
      </c>
      <c r="E299" t="s">
        <v>421</v>
      </c>
      <c r="F299" t="s">
        <v>685</v>
      </c>
    </row>
    <row r="300" spans="1:6" ht="15.5" x14ac:dyDescent="0.35">
      <c r="A300" s="3" t="s">
        <v>422</v>
      </c>
      <c r="B300" s="3">
        <v>6.2</v>
      </c>
      <c r="C300" s="2">
        <v>83.53</v>
      </c>
      <c r="D300" s="2">
        <v>46.27</v>
      </c>
      <c r="E300" t="s">
        <v>422</v>
      </c>
      <c r="F300" t="s">
        <v>685</v>
      </c>
    </row>
    <row r="301" spans="1:6" ht="15.5" x14ac:dyDescent="0.35">
      <c r="A301" s="3" t="s">
        <v>72</v>
      </c>
      <c r="B301" s="3">
        <v>5.53</v>
      </c>
      <c r="C301" s="2">
        <v>85.06</v>
      </c>
      <c r="D301" s="2">
        <v>46.87</v>
      </c>
      <c r="E301" t="s">
        <v>717</v>
      </c>
      <c r="F301" t="s">
        <v>666</v>
      </c>
    </row>
    <row r="302" spans="1:6" ht="15.5" x14ac:dyDescent="0.35">
      <c r="A302" s="3" t="s">
        <v>87</v>
      </c>
      <c r="B302" s="3">
        <v>3.19</v>
      </c>
      <c r="C302" s="2">
        <v>86.77</v>
      </c>
      <c r="D302" s="2">
        <v>51.87</v>
      </c>
      <c r="E302" t="s">
        <v>718</v>
      </c>
      <c r="F302" t="s">
        <v>666</v>
      </c>
    </row>
    <row r="303" spans="1:6" ht="15.5" x14ac:dyDescent="0.35">
      <c r="A303" s="3" t="s">
        <v>88</v>
      </c>
      <c r="B303" s="3">
        <v>4.21</v>
      </c>
      <c r="C303" s="2">
        <v>89.69</v>
      </c>
      <c r="D303" s="2">
        <v>56.79</v>
      </c>
      <c r="E303" t="s">
        <v>719</v>
      </c>
      <c r="F303" t="s">
        <v>666</v>
      </c>
    </row>
    <row r="304" spans="1:6" ht="15.5" x14ac:dyDescent="0.35">
      <c r="A304" s="3" t="s">
        <v>148</v>
      </c>
      <c r="B304" s="3">
        <v>2.84</v>
      </c>
      <c r="C304" s="2">
        <v>86.25</v>
      </c>
      <c r="D304" s="2">
        <v>54.54</v>
      </c>
      <c r="E304" t="s">
        <v>148</v>
      </c>
      <c r="F304" t="s">
        <v>678</v>
      </c>
    </row>
    <row r="305" spans="1:6" ht="15.5" x14ac:dyDescent="0.35">
      <c r="A305" s="3" t="s">
        <v>396</v>
      </c>
      <c r="B305" s="3">
        <v>3.07</v>
      </c>
      <c r="C305" s="2">
        <v>88.94</v>
      </c>
      <c r="D305" s="2">
        <v>52.75</v>
      </c>
      <c r="E305" t="s">
        <v>396</v>
      </c>
      <c r="F305" t="s">
        <v>679</v>
      </c>
    </row>
    <row r="306" spans="1:6" ht="15.5" x14ac:dyDescent="0.35">
      <c r="A306" s="3" t="s">
        <v>306</v>
      </c>
      <c r="B306" s="3">
        <v>4.29</v>
      </c>
      <c r="C306" s="2">
        <v>87.05</v>
      </c>
      <c r="D306" s="2">
        <v>62.65</v>
      </c>
      <c r="E306" t="s">
        <v>306</v>
      </c>
      <c r="F306" t="s">
        <v>673</v>
      </c>
    </row>
    <row r="307" spans="1:6" ht="15.5" x14ac:dyDescent="0.35">
      <c r="A307" s="3" t="s">
        <v>173</v>
      </c>
      <c r="B307" s="3">
        <v>4.21</v>
      </c>
      <c r="C307" s="2">
        <v>86.4</v>
      </c>
      <c r="D307" s="2">
        <v>53.85</v>
      </c>
    </row>
    <row r="308" spans="1:6" ht="15.5" x14ac:dyDescent="0.35">
      <c r="A308" s="3" t="s">
        <v>174</v>
      </c>
      <c r="B308" s="3">
        <v>2.11</v>
      </c>
      <c r="C308" s="2">
        <v>90.99</v>
      </c>
      <c r="D308" s="2">
        <v>68.260000000000005</v>
      </c>
      <c r="E308" t="s">
        <v>174</v>
      </c>
      <c r="F308" t="s">
        <v>706</v>
      </c>
    </row>
    <row r="309" spans="1:6" ht="15.5" x14ac:dyDescent="0.35">
      <c r="A309" s="3" t="s">
        <v>176</v>
      </c>
      <c r="B309" s="3">
        <v>4.67</v>
      </c>
      <c r="C309" s="2">
        <v>87.55</v>
      </c>
      <c r="D309" s="2">
        <v>48.78</v>
      </c>
      <c r="E309" t="s">
        <v>176</v>
      </c>
      <c r="F309" t="s">
        <v>706</v>
      </c>
    </row>
    <row r="310" spans="1:6" ht="15.5" x14ac:dyDescent="0.35">
      <c r="A310" s="3" t="s">
        <v>178</v>
      </c>
      <c r="B310" s="3">
        <v>3.27</v>
      </c>
      <c r="C310" s="2">
        <v>89.63</v>
      </c>
      <c r="D310" s="2">
        <v>61.26</v>
      </c>
      <c r="E310" t="s">
        <v>178</v>
      </c>
      <c r="F310" t="s">
        <v>706</v>
      </c>
    </row>
    <row r="311" spans="1:6" ht="15.5" x14ac:dyDescent="0.35">
      <c r="A311" s="3" t="s">
        <v>177</v>
      </c>
      <c r="B311" s="3">
        <v>3.18</v>
      </c>
      <c r="C311" s="2">
        <v>84.12</v>
      </c>
      <c r="D311" s="2">
        <v>50.78</v>
      </c>
      <c r="E311" t="s">
        <v>177</v>
      </c>
      <c r="F311" t="s">
        <v>706</v>
      </c>
    </row>
    <row r="312" spans="1:6" ht="15.5" x14ac:dyDescent="0.35">
      <c r="A312" s="3" t="s">
        <v>179</v>
      </c>
      <c r="B312" s="3">
        <v>5.78</v>
      </c>
      <c r="C312" s="2">
        <v>83.97</v>
      </c>
      <c r="D312" s="2">
        <v>50.27</v>
      </c>
      <c r="E312" t="s">
        <v>179</v>
      </c>
      <c r="F312" t="s">
        <v>706</v>
      </c>
    </row>
    <row r="313" spans="1:6" ht="15.5" x14ac:dyDescent="0.35">
      <c r="A313" s="3" t="s">
        <v>377</v>
      </c>
      <c r="B313" s="3">
        <v>2.69</v>
      </c>
      <c r="C313" s="2">
        <v>86.21</v>
      </c>
      <c r="D313" s="2">
        <v>57.34</v>
      </c>
      <c r="E313" t="s">
        <v>377</v>
      </c>
      <c r="F313" t="s">
        <v>683</v>
      </c>
    </row>
    <row r="314" spans="1:6" ht="15.5" x14ac:dyDescent="0.35">
      <c r="A314" s="3" t="s">
        <v>78</v>
      </c>
      <c r="B314" s="3">
        <v>5.85</v>
      </c>
      <c r="C314" s="2">
        <v>88.04</v>
      </c>
      <c r="D314" s="2">
        <v>53.45</v>
      </c>
      <c r="E314" t="s">
        <v>78</v>
      </c>
      <c r="F314" t="s">
        <v>666</v>
      </c>
    </row>
    <row r="315" spans="1:6" ht="15.5" x14ac:dyDescent="0.35">
      <c r="A315" s="3" t="s">
        <v>582</v>
      </c>
      <c r="B315" s="3">
        <v>0.5</v>
      </c>
      <c r="C315" s="2">
        <v>96.71</v>
      </c>
      <c r="D315" s="2">
        <v>95.91</v>
      </c>
      <c r="E315" t="s">
        <v>582</v>
      </c>
      <c r="F315" t="s">
        <v>698</v>
      </c>
    </row>
    <row r="316" spans="1:6" ht="15.5" x14ac:dyDescent="0.35">
      <c r="A316" s="3" t="s">
        <v>323</v>
      </c>
      <c r="B316" s="3">
        <v>7.3</v>
      </c>
      <c r="C316" s="2">
        <v>81.86</v>
      </c>
      <c r="D316" s="2">
        <v>45.78</v>
      </c>
      <c r="E316" t="s">
        <v>323</v>
      </c>
      <c r="F316" t="s">
        <v>709</v>
      </c>
    </row>
    <row r="317" spans="1:6" ht="15.5" x14ac:dyDescent="0.35">
      <c r="A317" s="3" t="s">
        <v>169</v>
      </c>
      <c r="B317" s="3">
        <v>2.16</v>
      </c>
      <c r="C317" s="2">
        <v>86.41</v>
      </c>
      <c r="D317" s="2">
        <v>64.569999999999993</v>
      </c>
      <c r="E317" t="s">
        <v>169</v>
      </c>
      <c r="F317" t="s">
        <v>684</v>
      </c>
    </row>
    <row r="318" spans="1:6" ht="15.5" x14ac:dyDescent="0.35">
      <c r="A318" s="3" t="s">
        <v>359</v>
      </c>
      <c r="B318" s="3">
        <v>1.37</v>
      </c>
      <c r="C318" s="2">
        <v>80.709999999999994</v>
      </c>
      <c r="D318" s="2">
        <v>73.819999999999993</v>
      </c>
      <c r="E318" t="s">
        <v>359</v>
      </c>
      <c r="F318" t="s">
        <v>665</v>
      </c>
    </row>
    <row r="319" spans="1:6" ht="15.5" x14ac:dyDescent="0.35">
      <c r="A319" s="3" t="s">
        <v>107</v>
      </c>
      <c r="B319" s="3">
        <v>3.78</v>
      </c>
      <c r="C319" s="2">
        <v>85.1</v>
      </c>
      <c r="D319" s="2">
        <v>63.31</v>
      </c>
      <c r="E319" t="s">
        <v>107</v>
      </c>
      <c r="F319" t="s">
        <v>664</v>
      </c>
    </row>
    <row r="320" spans="1:6" ht="15.5" x14ac:dyDescent="0.35">
      <c r="A320" s="3" t="s">
        <v>201</v>
      </c>
      <c r="B320" s="3">
        <v>3.52</v>
      </c>
      <c r="C320" s="2">
        <v>83.03</v>
      </c>
      <c r="D320" s="2">
        <v>47.85</v>
      </c>
      <c r="E320" t="s">
        <v>201</v>
      </c>
      <c r="F320" t="s">
        <v>688</v>
      </c>
    </row>
    <row r="321" spans="1:6" ht="15.5" x14ac:dyDescent="0.35">
      <c r="A321" s="3" t="s">
        <v>341</v>
      </c>
      <c r="B321" s="3">
        <v>2.82</v>
      </c>
      <c r="C321" s="2">
        <v>84.82</v>
      </c>
      <c r="D321" s="2">
        <v>63.97</v>
      </c>
      <c r="E321" t="s">
        <v>341</v>
      </c>
      <c r="F321" t="s">
        <v>687</v>
      </c>
    </row>
    <row r="322" spans="1:6" ht="15.5" x14ac:dyDescent="0.35">
      <c r="A322" s="3" t="s">
        <v>342</v>
      </c>
      <c r="B322" s="3">
        <v>3.36</v>
      </c>
      <c r="C322" s="2">
        <v>88.38</v>
      </c>
      <c r="D322" s="2">
        <v>68.400000000000006</v>
      </c>
      <c r="E322" t="s">
        <v>342</v>
      </c>
      <c r="F322" t="s">
        <v>687</v>
      </c>
    </row>
    <row r="323" spans="1:6" ht="15.5" x14ac:dyDescent="0.35">
      <c r="A323" s="3" t="s">
        <v>343</v>
      </c>
      <c r="B323" s="3">
        <v>2.82</v>
      </c>
      <c r="C323" s="2">
        <v>88.98</v>
      </c>
      <c r="D323" s="2">
        <v>67.8</v>
      </c>
      <c r="E323" t="s">
        <v>343</v>
      </c>
      <c r="F323" t="s">
        <v>687</v>
      </c>
    </row>
    <row r="324" spans="1:6" ht="15.5" x14ac:dyDescent="0.35">
      <c r="A324" s="3" t="s">
        <v>348</v>
      </c>
      <c r="B324" s="3">
        <v>2.68</v>
      </c>
      <c r="C324" s="2">
        <v>86.8</v>
      </c>
      <c r="D324" s="2">
        <v>66.78</v>
      </c>
      <c r="E324" t="s">
        <v>348</v>
      </c>
      <c r="F324" t="s">
        <v>687</v>
      </c>
    </row>
    <row r="325" spans="1:6" ht="15.5" x14ac:dyDescent="0.35">
      <c r="A325" s="3" t="s">
        <v>290</v>
      </c>
      <c r="B325" s="3">
        <v>3.08</v>
      </c>
      <c r="C325" s="2">
        <v>87.03</v>
      </c>
      <c r="D325" s="2">
        <v>52.95</v>
      </c>
      <c r="E325" t="s">
        <v>290</v>
      </c>
      <c r="F325" t="s">
        <v>673</v>
      </c>
    </row>
    <row r="326" spans="1:6" ht="15.5" x14ac:dyDescent="0.35">
      <c r="A326" s="3" t="s">
        <v>482</v>
      </c>
      <c r="B326" s="3">
        <v>3.71</v>
      </c>
      <c r="C326" s="2">
        <v>83.59</v>
      </c>
      <c r="D326" s="2">
        <v>51.72</v>
      </c>
      <c r="E326" t="s">
        <v>482</v>
      </c>
      <c r="F326" t="s">
        <v>675</v>
      </c>
    </row>
    <row r="327" spans="1:6" ht="15.5" x14ac:dyDescent="0.35">
      <c r="A327" s="3" t="s">
        <v>485</v>
      </c>
      <c r="B327" s="3">
        <v>3.7</v>
      </c>
      <c r="C327" s="2">
        <v>84.76</v>
      </c>
      <c r="D327" s="2">
        <v>55.05</v>
      </c>
      <c r="E327" t="s">
        <v>485</v>
      </c>
      <c r="F327" t="s">
        <v>675</v>
      </c>
    </row>
    <row r="328" spans="1:6" ht="15.5" x14ac:dyDescent="0.35">
      <c r="A328" s="3" t="s">
        <v>484</v>
      </c>
      <c r="B328" s="3">
        <v>2.2400000000000002</v>
      </c>
      <c r="C328" s="2">
        <v>86.34</v>
      </c>
      <c r="D328" s="2">
        <v>60.12</v>
      </c>
      <c r="E328" t="s">
        <v>484</v>
      </c>
      <c r="F328" t="s">
        <v>675</v>
      </c>
    </row>
    <row r="329" spans="1:6" ht="15.5" x14ac:dyDescent="0.35">
      <c r="A329" s="3" t="s">
        <v>301</v>
      </c>
      <c r="B329" s="3">
        <v>3.22</v>
      </c>
      <c r="C329" s="2">
        <v>83.72</v>
      </c>
      <c r="D329" s="2">
        <v>64.569999999999993</v>
      </c>
      <c r="E329" t="s">
        <v>301</v>
      </c>
      <c r="F329" t="s">
        <v>673</v>
      </c>
    </row>
    <row r="330" spans="1:6" ht="15.5" x14ac:dyDescent="0.35">
      <c r="A330" s="3" t="s">
        <v>248</v>
      </c>
      <c r="B330" s="3">
        <v>3.52</v>
      </c>
      <c r="C330" s="2">
        <v>86.15</v>
      </c>
      <c r="D330" s="2">
        <v>70.08</v>
      </c>
      <c r="E330" t="s">
        <v>248</v>
      </c>
      <c r="F330" t="s">
        <v>674</v>
      </c>
    </row>
    <row r="331" spans="1:6" ht="15.5" x14ac:dyDescent="0.35">
      <c r="A331" s="3" t="s">
        <v>302</v>
      </c>
      <c r="B331" s="3">
        <v>3.26</v>
      </c>
      <c r="C331" s="2">
        <v>84.78</v>
      </c>
      <c r="D331" s="2">
        <v>65.11</v>
      </c>
      <c r="E331" t="s">
        <v>302</v>
      </c>
      <c r="F331" t="s">
        <v>673</v>
      </c>
    </row>
    <row r="332" spans="1:6" ht="15.5" x14ac:dyDescent="0.35">
      <c r="A332" s="3" t="s">
        <v>425</v>
      </c>
      <c r="B332" s="3">
        <v>2.84</v>
      </c>
      <c r="C332" s="2">
        <v>87.64</v>
      </c>
      <c r="D332" s="2">
        <v>66.25</v>
      </c>
      <c r="E332" t="s">
        <v>425</v>
      </c>
      <c r="F332" t="s">
        <v>685</v>
      </c>
    </row>
    <row r="333" spans="1:6" ht="15.5" x14ac:dyDescent="0.35">
      <c r="A333" s="3" t="s">
        <v>222</v>
      </c>
      <c r="B333" s="3">
        <v>3.62</v>
      </c>
      <c r="C333" s="2">
        <v>85.96</v>
      </c>
      <c r="D333" s="2">
        <v>59.23</v>
      </c>
      <c r="E333" t="s">
        <v>222</v>
      </c>
      <c r="F333" t="s">
        <v>670</v>
      </c>
    </row>
    <row r="334" spans="1:6" ht="15.5" x14ac:dyDescent="0.35">
      <c r="A334" s="3" t="s">
        <v>516</v>
      </c>
      <c r="B334" s="3">
        <v>3.74</v>
      </c>
      <c r="C334" s="2">
        <v>82.87</v>
      </c>
      <c r="D334" s="2">
        <v>53.64</v>
      </c>
      <c r="E334" t="s">
        <v>516</v>
      </c>
      <c r="F334" t="s">
        <v>720</v>
      </c>
    </row>
    <row r="335" spans="1:6" ht="15.5" x14ac:dyDescent="0.35">
      <c r="A335" s="3" t="s">
        <v>372</v>
      </c>
      <c r="B335" s="3">
        <v>2.0699999999999998</v>
      </c>
      <c r="C335" s="2">
        <v>87.83</v>
      </c>
      <c r="D335" s="2">
        <v>82.07</v>
      </c>
      <c r="E335" t="s">
        <v>372</v>
      </c>
      <c r="F335" t="s">
        <v>665</v>
      </c>
    </row>
    <row r="336" spans="1:6" ht="15.5" x14ac:dyDescent="0.35">
      <c r="A336" s="3" t="s">
        <v>289</v>
      </c>
      <c r="B336" s="3">
        <v>5</v>
      </c>
      <c r="C336" s="2">
        <v>87.96</v>
      </c>
      <c r="D336" s="2">
        <v>59.74</v>
      </c>
      <c r="E336" t="s">
        <v>289</v>
      </c>
      <c r="F336" t="s">
        <v>673</v>
      </c>
    </row>
    <row r="337" spans="1:6" ht="15.5" x14ac:dyDescent="0.35">
      <c r="A337" s="3" t="s">
        <v>430</v>
      </c>
      <c r="B337" s="3">
        <v>3.42</v>
      </c>
      <c r="C337" s="2">
        <v>87.63</v>
      </c>
      <c r="D337" s="2">
        <v>63.74</v>
      </c>
      <c r="E337" t="s">
        <v>430</v>
      </c>
      <c r="F337" t="s">
        <v>691</v>
      </c>
    </row>
    <row r="338" spans="1:6" ht="15.5" x14ac:dyDescent="0.35">
      <c r="A338" s="3" t="s">
        <v>522</v>
      </c>
      <c r="B338" s="3">
        <v>6.27</v>
      </c>
      <c r="C338" s="2">
        <v>77.45</v>
      </c>
      <c r="D338" s="2">
        <v>55.71</v>
      </c>
    </row>
    <row r="339" spans="1:6" ht="15.5" x14ac:dyDescent="0.35">
      <c r="A339" s="3" t="s">
        <v>530</v>
      </c>
      <c r="B339" s="3">
        <v>2.69</v>
      </c>
      <c r="C339" s="2">
        <v>80.510000000000005</v>
      </c>
      <c r="D339" s="2">
        <v>61.16</v>
      </c>
      <c r="E339" t="s">
        <v>530</v>
      </c>
      <c r="F339" t="s">
        <v>692</v>
      </c>
    </row>
    <row r="340" spans="1:6" ht="15.5" x14ac:dyDescent="0.35">
      <c r="A340" s="3" t="s">
        <v>525</v>
      </c>
      <c r="B340" s="3">
        <v>6.93</v>
      </c>
      <c r="C340" s="2">
        <v>75.099999999999994</v>
      </c>
      <c r="D340" s="2">
        <v>57.23</v>
      </c>
      <c r="E340" t="s">
        <v>525</v>
      </c>
      <c r="F340" t="s">
        <v>692</v>
      </c>
    </row>
    <row r="341" spans="1:6" ht="15.5" x14ac:dyDescent="0.35">
      <c r="A341" s="3" t="s">
        <v>524</v>
      </c>
      <c r="B341" s="3">
        <v>6.01</v>
      </c>
      <c r="C341" s="2">
        <v>74.31</v>
      </c>
      <c r="D341" s="2">
        <v>59.76</v>
      </c>
      <c r="E341" t="s">
        <v>524</v>
      </c>
      <c r="F341" t="s">
        <v>692</v>
      </c>
    </row>
    <row r="342" spans="1:6" ht="15.5" x14ac:dyDescent="0.35">
      <c r="A342" s="3" t="s">
        <v>523</v>
      </c>
      <c r="B342" s="3">
        <v>4.21</v>
      </c>
      <c r="C342" s="2">
        <v>68.7</v>
      </c>
      <c r="D342" s="2">
        <v>57.57</v>
      </c>
      <c r="E342" t="s">
        <v>700</v>
      </c>
      <c r="F342" t="s">
        <v>692</v>
      </c>
    </row>
    <row r="343" spans="1:6" ht="15.5" x14ac:dyDescent="0.35">
      <c r="A343" s="3" t="s">
        <v>534</v>
      </c>
      <c r="B343" s="3">
        <v>4.55</v>
      </c>
      <c r="C343" s="2">
        <v>83.85</v>
      </c>
      <c r="D343" s="2">
        <v>54.29</v>
      </c>
    </row>
    <row r="344" spans="1:6" ht="15.5" x14ac:dyDescent="0.35">
      <c r="A344" s="3" t="s">
        <v>518</v>
      </c>
      <c r="B344" s="3">
        <v>2.91</v>
      </c>
      <c r="C344" s="2">
        <v>87.4</v>
      </c>
      <c r="D344" s="2">
        <v>75.900000000000006</v>
      </c>
      <c r="E344" t="s">
        <v>518</v>
      </c>
      <c r="F344" t="s">
        <v>720</v>
      </c>
    </row>
    <row r="345" spans="1:6" ht="15.5" x14ac:dyDescent="0.35">
      <c r="A345" s="3" t="s">
        <v>580</v>
      </c>
      <c r="B345" s="3">
        <v>2.41</v>
      </c>
      <c r="C345" s="2">
        <v>65.7</v>
      </c>
      <c r="D345" s="2">
        <v>28.98</v>
      </c>
      <c r="E345" t="s">
        <v>580</v>
      </c>
      <c r="F345" t="s">
        <v>686</v>
      </c>
    </row>
    <row r="346" spans="1:6" ht="15.5" x14ac:dyDescent="0.35">
      <c r="A346" s="3" t="s">
        <v>583</v>
      </c>
      <c r="B346" s="3">
        <v>2.86</v>
      </c>
      <c r="C346" s="2">
        <v>89.73</v>
      </c>
      <c r="D346" s="2">
        <v>82.94</v>
      </c>
      <c r="E346" t="s">
        <v>583</v>
      </c>
      <c r="F346" t="s">
        <v>698</v>
      </c>
    </row>
    <row r="347" spans="1:6" ht="15.5" x14ac:dyDescent="0.35">
      <c r="A347" s="3" t="s">
        <v>519</v>
      </c>
      <c r="B347" s="3">
        <v>3.38</v>
      </c>
      <c r="C347" s="2">
        <v>86.52</v>
      </c>
      <c r="D347" s="2">
        <v>67.45</v>
      </c>
      <c r="E347" t="s">
        <v>519</v>
      </c>
      <c r="F347" t="s">
        <v>720</v>
      </c>
    </row>
    <row r="348" spans="1:6" ht="15.5" x14ac:dyDescent="0.35">
      <c r="A348" s="3" t="s">
        <v>521</v>
      </c>
      <c r="B348" s="3">
        <v>1.58</v>
      </c>
      <c r="C348" s="2">
        <v>91.11</v>
      </c>
      <c r="D348" s="2">
        <v>49.77</v>
      </c>
      <c r="E348" t="s">
        <v>521</v>
      </c>
      <c r="F348" t="s">
        <v>720</v>
      </c>
    </row>
    <row r="349" spans="1:6" ht="15.5" x14ac:dyDescent="0.35">
      <c r="A349" s="3" t="s">
        <v>520</v>
      </c>
      <c r="B349" s="3">
        <v>1.69</v>
      </c>
      <c r="C349" s="2">
        <v>91.99</v>
      </c>
      <c r="D349" s="2">
        <v>54.11</v>
      </c>
      <c r="E349" t="s">
        <v>722</v>
      </c>
      <c r="F349" t="s">
        <v>720</v>
      </c>
    </row>
    <row r="350" spans="1:6" ht="15.5" x14ac:dyDescent="0.35">
      <c r="A350" s="3" t="s">
        <v>67</v>
      </c>
      <c r="B350" s="3">
        <v>7.18</v>
      </c>
      <c r="C350" s="2">
        <v>83.18</v>
      </c>
      <c r="D350" s="2">
        <v>60.08</v>
      </c>
      <c r="E350" t="s">
        <v>67</v>
      </c>
      <c r="F350" t="s">
        <v>666</v>
      </c>
    </row>
    <row r="351" spans="1:6" ht="15.5" x14ac:dyDescent="0.35">
      <c r="A351" s="3" t="s">
        <v>364</v>
      </c>
      <c r="B351" s="3">
        <v>1.56</v>
      </c>
      <c r="C351" s="2">
        <v>84.37</v>
      </c>
      <c r="D351" s="2">
        <v>72.86</v>
      </c>
      <c r="E351" t="s">
        <v>364</v>
      </c>
      <c r="F351" t="s">
        <v>665</v>
      </c>
    </row>
    <row r="352" spans="1:6" ht="15.5" x14ac:dyDescent="0.35">
      <c r="A352" s="3" t="s">
        <v>366</v>
      </c>
      <c r="B352" s="3">
        <v>3.32</v>
      </c>
      <c r="C352" s="2">
        <v>81.88</v>
      </c>
      <c r="D352" s="2">
        <v>62.34</v>
      </c>
      <c r="E352" t="s">
        <v>366</v>
      </c>
      <c r="F352" t="s">
        <v>665</v>
      </c>
    </row>
    <row r="353" spans="1:6" ht="15.5" x14ac:dyDescent="0.35">
      <c r="A353" s="3" t="s">
        <v>370</v>
      </c>
      <c r="B353" s="3">
        <v>1.24</v>
      </c>
      <c r="C353" s="2">
        <v>87.85</v>
      </c>
      <c r="D353" s="2">
        <v>78.83</v>
      </c>
      <c r="E353" t="s">
        <v>370</v>
      </c>
      <c r="F353" t="s">
        <v>665</v>
      </c>
    </row>
    <row r="354" spans="1:6" ht="15.5" x14ac:dyDescent="0.35">
      <c r="A354" s="3" t="s">
        <v>550</v>
      </c>
      <c r="B354" s="3">
        <v>5.65</v>
      </c>
      <c r="C354" s="2">
        <v>80.790000000000006</v>
      </c>
      <c r="D354" s="2">
        <v>54.07</v>
      </c>
      <c r="E354" t="s">
        <v>550</v>
      </c>
      <c r="F354" t="s">
        <v>695</v>
      </c>
    </row>
    <row r="355" spans="1:6" ht="15.5" x14ac:dyDescent="0.35">
      <c r="A355" s="3" t="s">
        <v>556</v>
      </c>
      <c r="B355" s="3">
        <v>2.62</v>
      </c>
      <c r="C355" s="2">
        <v>81.87</v>
      </c>
      <c r="D355" s="2">
        <v>65.19</v>
      </c>
      <c r="E355" t="s">
        <v>556</v>
      </c>
      <c r="F355" t="s">
        <v>695</v>
      </c>
    </row>
    <row r="356" spans="1:6" ht="15.5" x14ac:dyDescent="0.35">
      <c r="A356" s="3" t="s">
        <v>571</v>
      </c>
      <c r="B356" s="3">
        <v>5.61</v>
      </c>
      <c r="C356" s="2">
        <v>74.540000000000006</v>
      </c>
      <c r="D356" s="2">
        <v>55.56</v>
      </c>
      <c r="E356" t="s">
        <v>571</v>
      </c>
      <c r="F356" t="s">
        <v>667</v>
      </c>
    </row>
    <row r="357" spans="1:6" ht="15.5" x14ac:dyDescent="0.35">
      <c r="A357" s="3" t="s">
        <v>473</v>
      </c>
      <c r="B357" s="3">
        <v>4.13</v>
      </c>
      <c r="C357" s="2">
        <v>81.77</v>
      </c>
      <c r="D357" s="2">
        <v>51.65</v>
      </c>
      <c r="E357" t="s">
        <v>473</v>
      </c>
      <c r="F357" t="s">
        <v>675</v>
      </c>
    </row>
    <row r="358" spans="1:6" ht="15.5" x14ac:dyDescent="0.35">
      <c r="A358" s="3" t="s">
        <v>555</v>
      </c>
      <c r="B358" s="3">
        <v>3.78</v>
      </c>
      <c r="C358" s="2">
        <v>83.94</v>
      </c>
      <c r="D358" s="2">
        <v>77.06</v>
      </c>
      <c r="E358" t="s">
        <v>555</v>
      </c>
      <c r="F358" t="s">
        <v>716</v>
      </c>
    </row>
    <row r="359" spans="1:6" ht="15.5" x14ac:dyDescent="0.35">
      <c r="A359" s="3" t="s">
        <v>384</v>
      </c>
      <c r="B359" s="3">
        <v>2.94</v>
      </c>
      <c r="C359" s="2">
        <v>87.52</v>
      </c>
      <c r="D359" s="2">
        <v>60.81</v>
      </c>
      <c r="E359" t="s">
        <v>384</v>
      </c>
      <c r="F359" t="s">
        <v>683</v>
      </c>
    </row>
    <row r="360" spans="1:6" ht="15.5" x14ac:dyDescent="0.35">
      <c r="A360" s="3" t="s">
        <v>378</v>
      </c>
      <c r="B360" s="3">
        <v>4.74</v>
      </c>
      <c r="C360" s="2">
        <v>87.71</v>
      </c>
      <c r="D360" s="2">
        <v>54.07</v>
      </c>
      <c r="E360" t="s">
        <v>378</v>
      </c>
      <c r="F360" t="s">
        <v>683</v>
      </c>
    </row>
    <row r="361" spans="1:6" ht="15.5" x14ac:dyDescent="0.35">
      <c r="A361" s="3" t="s">
        <v>134</v>
      </c>
      <c r="B361" s="3">
        <v>3.9</v>
      </c>
      <c r="C361" s="2">
        <v>86.85</v>
      </c>
      <c r="D361" s="2">
        <v>49.91</v>
      </c>
      <c r="E361" t="s">
        <v>134</v>
      </c>
      <c r="F361" t="s">
        <v>681</v>
      </c>
    </row>
    <row r="362" spans="1:6" ht="15.5" x14ac:dyDescent="0.35">
      <c r="A362" s="3" t="s">
        <v>561</v>
      </c>
      <c r="B362" s="3">
        <v>4.3499999999999996</v>
      </c>
      <c r="C362" s="2">
        <v>79.569999999999993</v>
      </c>
      <c r="D362" s="2">
        <v>52.08</v>
      </c>
      <c r="E362" t="s">
        <v>561</v>
      </c>
      <c r="F362" t="s">
        <v>667</v>
      </c>
    </row>
    <row r="363" spans="1:6" ht="15.5" x14ac:dyDescent="0.35">
      <c r="A363" s="3" t="s">
        <v>184</v>
      </c>
      <c r="B363" s="3">
        <v>2.68</v>
      </c>
      <c r="C363" s="2">
        <v>89.88</v>
      </c>
      <c r="D363" s="2">
        <v>49.84</v>
      </c>
      <c r="E363" t="s">
        <v>184</v>
      </c>
      <c r="F363" t="s">
        <v>706</v>
      </c>
    </row>
    <row r="364" spans="1:6" ht="15.5" x14ac:dyDescent="0.35">
      <c r="A364" s="3" t="s">
        <v>569</v>
      </c>
      <c r="B364" s="3">
        <v>6.75</v>
      </c>
      <c r="C364" s="2">
        <v>84.56</v>
      </c>
      <c r="D364" s="2">
        <v>47.77</v>
      </c>
      <c r="E364" t="s">
        <v>569</v>
      </c>
      <c r="F364" t="s">
        <v>693</v>
      </c>
    </row>
    <row r="365" spans="1:6" ht="15.5" x14ac:dyDescent="0.35">
      <c r="A365" s="3" t="s">
        <v>437</v>
      </c>
      <c r="B365" s="3">
        <v>7.74</v>
      </c>
      <c r="C365" s="2">
        <v>80.13</v>
      </c>
      <c r="D365" s="2">
        <v>48.9</v>
      </c>
      <c r="E365" t="s">
        <v>437</v>
      </c>
      <c r="F365" t="s">
        <v>689</v>
      </c>
    </row>
    <row r="366" spans="1:6" ht="15.5" x14ac:dyDescent="0.35">
      <c r="A366" s="3" t="s">
        <v>440</v>
      </c>
      <c r="B366" s="3">
        <v>4.7699999999999996</v>
      </c>
      <c r="C366" s="2">
        <v>84.39</v>
      </c>
      <c r="D366" s="2">
        <v>49.98</v>
      </c>
      <c r="E366" t="s">
        <v>440</v>
      </c>
      <c r="F366" t="s">
        <v>689</v>
      </c>
    </row>
    <row r="367" spans="1:6" ht="15.5" x14ac:dyDescent="0.35">
      <c r="A367" s="3" t="s">
        <v>444</v>
      </c>
      <c r="B367" s="3">
        <v>3.38</v>
      </c>
      <c r="C367" s="2">
        <v>88.19</v>
      </c>
      <c r="D367" s="2">
        <v>50.74</v>
      </c>
      <c r="E367" t="s">
        <v>444</v>
      </c>
      <c r="F367" t="s">
        <v>689</v>
      </c>
    </row>
    <row r="368" spans="1:6" ht="15.5" x14ac:dyDescent="0.35">
      <c r="A368" s="3" t="s">
        <v>441</v>
      </c>
      <c r="B368" s="3">
        <v>6.8</v>
      </c>
      <c r="C368" s="2">
        <v>84.92</v>
      </c>
      <c r="D368" s="2">
        <v>49.55</v>
      </c>
      <c r="E368" t="s">
        <v>441</v>
      </c>
      <c r="F368" t="s">
        <v>689</v>
      </c>
    </row>
    <row r="369" spans="1:6" ht="15.5" x14ac:dyDescent="0.35">
      <c r="A369" s="3" t="s">
        <v>298</v>
      </c>
      <c r="B369" s="3">
        <v>3.49</v>
      </c>
      <c r="C369" s="2">
        <v>82.46</v>
      </c>
      <c r="D369" s="2">
        <v>66.03</v>
      </c>
      <c r="E369" t="s">
        <v>298</v>
      </c>
      <c r="F369" t="s">
        <v>673</v>
      </c>
    </row>
    <row r="370" spans="1:6" ht="15.5" x14ac:dyDescent="0.35">
      <c r="A370" s="3" t="s">
        <v>454</v>
      </c>
      <c r="B370" s="3">
        <v>2.81</v>
      </c>
      <c r="C370" s="2">
        <v>88.29</v>
      </c>
      <c r="D370" s="2">
        <v>36.950000000000003</v>
      </c>
      <c r="E370" t="s">
        <v>454</v>
      </c>
      <c r="F370" t="s">
        <v>671</v>
      </c>
    </row>
    <row r="371" spans="1:6" ht="15.5" x14ac:dyDescent="0.35">
      <c r="A371" s="3" t="s">
        <v>463</v>
      </c>
      <c r="B371" s="3">
        <v>2.38</v>
      </c>
      <c r="C371" s="2">
        <v>86.28</v>
      </c>
      <c r="D371" s="2">
        <v>52.88</v>
      </c>
      <c r="E371" t="s">
        <v>463</v>
      </c>
      <c r="F371" t="s">
        <v>671</v>
      </c>
    </row>
    <row r="372" spans="1:6" ht="15.5" x14ac:dyDescent="0.35">
      <c r="A372" s="3" t="s">
        <v>147</v>
      </c>
      <c r="B372" s="3">
        <v>4.13</v>
      </c>
      <c r="C372" s="2">
        <v>85.61</v>
      </c>
      <c r="D372" s="2">
        <v>54.07</v>
      </c>
      <c r="E372" t="s">
        <v>147</v>
      </c>
      <c r="F372" t="s">
        <v>678</v>
      </c>
    </row>
    <row r="373" spans="1:6" ht="15.5" x14ac:dyDescent="0.35">
      <c r="A373" s="3" t="s">
        <v>137</v>
      </c>
      <c r="B373" s="3">
        <v>5.0199999999999996</v>
      </c>
      <c r="C373" s="2">
        <v>88.99</v>
      </c>
      <c r="D373" s="2">
        <v>57.83</v>
      </c>
      <c r="E373" t="s">
        <v>137</v>
      </c>
      <c r="F373" t="s">
        <v>681</v>
      </c>
    </row>
    <row r="374" spans="1:6" ht="15.5" x14ac:dyDescent="0.35">
      <c r="A374" s="3" t="s">
        <v>168</v>
      </c>
      <c r="B374" s="3">
        <v>3.33</v>
      </c>
      <c r="C374" s="2">
        <v>89.85</v>
      </c>
      <c r="D374" s="2">
        <v>44.47</v>
      </c>
      <c r="E374" t="s">
        <v>721</v>
      </c>
      <c r="F374" t="s">
        <v>684</v>
      </c>
    </row>
    <row r="375" spans="1:6" ht="15.5" x14ac:dyDescent="0.35">
      <c r="A375" s="3" t="s">
        <v>492</v>
      </c>
      <c r="B375" s="3">
        <v>4.1399999999999997</v>
      </c>
      <c r="C375" s="2">
        <v>76.92</v>
      </c>
      <c r="D375" s="2">
        <v>62.1</v>
      </c>
      <c r="E375" t="s">
        <v>492</v>
      </c>
      <c r="F375" t="s">
        <v>690</v>
      </c>
    </row>
    <row r="376" spans="1:6" ht="15.5" x14ac:dyDescent="0.35">
      <c r="A376" s="3" t="s">
        <v>503</v>
      </c>
      <c r="B376" s="3">
        <v>2.76</v>
      </c>
      <c r="C376" s="2">
        <v>86.56</v>
      </c>
      <c r="D376" s="2">
        <v>64.13</v>
      </c>
      <c r="E376" t="s">
        <v>503</v>
      </c>
      <c r="F376" t="s">
        <v>690</v>
      </c>
    </row>
    <row r="377" spans="1:6" ht="15.5" x14ac:dyDescent="0.35">
      <c r="A377" s="3" t="s">
        <v>402</v>
      </c>
      <c r="B377" s="3">
        <v>2.52</v>
      </c>
      <c r="C377" s="2">
        <v>82.86</v>
      </c>
      <c r="D377" s="2">
        <v>50.14</v>
      </c>
      <c r="E377" t="s">
        <v>402</v>
      </c>
      <c r="F377" t="s">
        <v>679</v>
      </c>
    </row>
    <row r="378" spans="1:6" ht="15.5" x14ac:dyDescent="0.35">
      <c r="A378" s="3" t="s">
        <v>150</v>
      </c>
      <c r="B378" s="3">
        <v>2.04</v>
      </c>
      <c r="C378" s="2" t="s">
        <v>598</v>
      </c>
      <c r="D378" s="2">
        <v>55.29</v>
      </c>
      <c r="E378" t="s">
        <v>150</v>
      </c>
      <c r="F378" t="s">
        <v>678</v>
      </c>
    </row>
    <row r="379" spans="1:6" ht="15.5" x14ac:dyDescent="0.35">
      <c r="A379" s="3" t="s">
        <v>149</v>
      </c>
      <c r="B379" s="3">
        <v>1.74</v>
      </c>
      <c r="C379" s="2">
        <v>87.39</v>
      </c>
      <c r="D379" s="2">
        <v>55.97</v>
      </c>
      <c r="E379" t="s">
        <v>149</v>
      </c>
      <c r="F379" t="s">
        <v>678</v>
      </c>
    </row>
    <row r="380" spans="1:6" ht="15.5" x14ac:dyDescent="0.35">
      <c r="A380" s="3" t="s">
        <v>157</v>
      </c>
      <c r="B380" s="3">
        <v>4.78</v>
      </c>
      <c r="C380" s="2">
        <v>85.1</v>
      </c>
      <c r="D380" s="2">
        <v>55.67</v>
      </c>
      <c r="E380" t="s">
        <v>157</v>
      </c>
      <c r="F380" t="s">
        <v>678</v>
      </c>
    </row>
    <row r="381" spans="1:6" ht="15.5" x14ac:dyDescent="0.35">
      <c r="A381" s="3" t="s">
        <v>564</v>
      </c>
      <c r="B381" s="3">
        <v>3.16</v>
      </c>
      <c r="C381" s="2">
        <v>82.98</v>
      </c>
      <c r="D381" s="2">
        <v>52.37</v>
      </c>
      <c r="E381" t="s">
        <v>564</v>
      </c>
      <c r="F381" t="s">
        <v>693</v>
      </c>
    </row>
    <row r="382" spans="1:6" ht="15.5" x14ac:dyDescent="0.35">
      <c r="A382" s="3" t="s">
        <v>56</v>
      </c>
      <c r="B382" s="3">
        <v>5.0599999999999996</v>
      </c>
      <c r="C382" s="2">
        <v>87.38</v>
      </c>
      <c r="D382" s="2">
        <v>40.97</v>
      </c>
      <c r="E382" t="s">
        <v>56</v>
      </c>
      <c r="F382" t="s">
        <v>661</v>
      </c>
    </row>
    <row r="383" spans="1:6" ht="15.5" x14ac:dyDescent="0.35">
      <c r="A383" s="3" t="s">
        <v>369</v>
      </c>
      <c r="B383" s="3">
        <v>1.31</v>
      </c>
      <c r="C383" s="2">
        <v>81.02</v>
      </c>
      <c r="D383" s="2">
        <v>62.39</v>
      </c>
      <c r="E383" t="s">
        <v>369</v>
      </c>
      <c r="F383" t="s">
        <v>665</v>
      </c>
    </row>
    <row r="384" spans="1:6" ht="15.5" x14ac:dyDescent="0.35">
      <c r="A384" s="3" t="s">
        <v>200</v>
      </c>
      <c r="B384" s="3">
        <v>3.98</v>
      </c>
      <c r="C384" s="2">
        <v>80.16</v>
      </c>
      <c r="D384" s="2">
        <v>61.02</v>
      </c>
      <c r="E384" t="s">
        <v>200</v>
      </c>
      <c r="F384" t="s">
        <v>688</v>
      </c>
    </row>
    <row r="385" spans="1:6" ht="15.5" x14ac:dyDescent="0.35">
      <c r="A385" s="3" t="s">
        <v>581</v>
      </c>
      <c r="B385" s="3">
        <v>1.85</v>
      </c>
      <c r="C385" s="2">
        <v>92.79</v>
      </c>
      <c r="D385" s="2">
        <v>93.39</v>
      </c>
      <c r="E385" t="s">
        <v>581</v>
      </c>
      <c r="F385" t="s">
        <v>698</v>
      </c>
    </row>
    <row r="386" spans="1:6" ht="15.5" x14ac:dyDescent="0.35">
      <c r="A386" s="3" t="s">
        <v>363</v>
      </c>
      <c r="B386" s="3">
        <v>2.6</v>
      </c>
      <c r="C386" s="2">
        <v>82.01</v>
      </c>
      <c r="D386" s="2">
        <v>72.91</v>
      </c>
      <c r="E386" t="s">
        <v>363</v>
      </c>
      <c r="F386" t="s">
        <v>665</v>
      </c>
    </row>
    <row r="387" spans="1:6" ht="15.5" x14ac:dyDescent="0.35">
      <c r="A387" s="3" t="s">
        <v>300</v>
      </c>
      <c r="B387" s="3">
        <v>3.84</v>
      </c>
      <c r="C387" s="2">
        <v>85.95</v>
      </c>
      <c r="D387" s="2">
        <v>60.43</v>
      </c>
      <c r="E387" t="s">
        <v>300</v>
      </c>
      <c r="F387" t="s">
        <v>673</v>
      </c>
    </row>
    <row r="388" spans="1:6" ht="15.5" x14ac:dyDescent="0.35">
      <c r="A388" s="3" t="s">
        <v>303</v>
      </c>
      <c r="B388" s="3">
        <v>2.2599999999999998</v>
      </c>
      <c r="C388" s="2">
        <v>85.84</v>
      </c>
      <c r="D388" s="2">
        <v>63.74</v>
      </c>
      <c r="E388" t="s">
        <v>303</v>
      </c>
      <c r="F388" t="s">
        <v>673</v>
      </c>
    </row>
    <row r="389" spans="1:6" ht="15.5" x14ac:dyDescent="0.35">
      <c r="A389" s="3" t="s">
        <v>66</v>
      </c>
      <c r="B389" s="3">
        <v>2.08</v>
      </c>
      <c r="C389" s="2">
        <v>79.78</v>
      </c>
      <c r="D389" s="2">
        <v>75.150000000000006</v>
      </c>
      <c r="E389" t="s">
        <v>66</v>
      </c>
      <c r="F389" t="s">
        <v>666</v>
      </c>
    </row>
    <row r="390" spans="1:6" ht="15.5" x14ac:dyDescent="0.35">
      <c r="A390" s="3" t="s">
        <v>90</v>
      </c>
      <c r="B390" s="3">
        <v>0.97</v>
      </c>
      <c r="C390" s="2">
        <v>86.79</v>
      </c>
      <c r="D390" s="2">
        <v>78.8</v>
      </c>
      <c r="E390" t="s">
        <v>90</v>
      </c>
      <c r="F390" t="s">
        <v>666</v>
      </c>
    </row>
    <row r="391" spans="1:6" ht="15.5" x14ac:dyDescent="0.35">
      <c r="A391" s="3" t="s">
        <v>79</v>
      </c>
      <c r="B391" s="3">
        <v>2.98</v>
      </c>
      <c r="C391" s="2">
        <v>85.04</v>
      </c>
      <c r="D391" s="2">
        <v>72.48</v>
      </c>
      <c r="E391" t="s">
        <v>79</v>
      </c>
      <c r="F391" t="s">
        <v>666</v>
      </c>
    </row>
    <row r="392" spans="1:6" ht="15.5" x14ac:dyDescent="0.35">
      <c r="A392" s="3" t="s">
        <v>89</v>
      </c>
      <c r="B392" s="3">
        <v>2.4</v>
      </c>
      <c r="C392" s="2">
        <v>83.43</v>
      </c>
      <c r="D392" s="2">
        <v>74.56</v>
      </c>
      <c r="E392" t="s">
        <v>89</v>
      </c>
      <c r="F392" t="s">
        <v>666</v>
      </c>
    </row>
    <row r="393" spans="1:6" ht="15.5" x14ac:dyDescent="0.35">
      <c r="A393" s="3" t="s">
        <v>433</v>
      </c>
      <c r="B393" s="3">
        <v>2.61</v>
      </c>
      <c r="C393" s="2">
        <v>87.93</v>
      </c>
      <c r="D393" s="2">
        <v>54.32</v>
      </c>
      <c r="E393" t="s">
        <v>433</v>
      </c>
      <c r="F393" t="s">
        <v>691</v>
      </c>
    </row>
    <row r="394" spans="1:6" ht="15.5" x14ac:dyDescent="0.35">
      <c r="A394" s="3" t="s">
        <v>340</v>
      </c>
      <c r="B394" s="3">
        <v>3.06</v>
      </c>
      <c r="C394" s="2">
        <v>86.55</v>
      </c>
      <c r="D394" s="2">
        <v>65.69</v>
      </c>
    </row>
    <row r="395" spans="1:6" ht="15.5" x14ac:dyDescent="0.35">
      <c r="A395" s="3" t="s">
        <v>351</v>
      </c>
      <c r="B395" s="3">
        <v>3.31</v>
      </c>
      <c r="C395" s="2">
        <v>82.52</v>
      </c>
      <c r="D395" s="2">
        <v>68.680000000000007</v>
      </c>
    </row>
    <row r="396" spans="1:6" ht="15.5" x14ac:dyDescent="0.35">
      <c r="A396" s="3" t="s">
        <v>154</v>
      </c>
      <c r="B396" s="3">
        <v>2.93</v>
      </c>
      <c r="C396" s="2">
        <v>89.42</v>
      </c>
      <c r="D396" s="2">
        <v>63.06</v>
      </c>
      <c r="E396" t="s">
        <v>154</v>
      </c>
      <c r="F396" t="s">
        <v>678</v>
      </c>
    </row>
    <row r="397" spans="1:6" ht="15.5" x14ac:dyDescent="0.35">
      <c r="A397" s="3" t="s">
        <v>146</v>
      </c>
      <c r="B397" s="3">
        <v>3.12</v>
      </c>
      <c r="C397" s="2">
        <v>84.24</v>
      </c>
      <c r="D397" s="2">
        <v>46.56</v>
      </c>
      <c r="E397" t="s">
        <v>146</v>
      </c>
      <c r="F397" t="s">
        <v>678</v>
      </c>
    </row>
    <row r="398" spans="1:6" ht="15.5" x14ac:dyDescent="0.35">
      <c r="A398" s="3" t="s">
        <v>145</v>
      </c>
      <c r="B398" s="3">
        <v>3.85</v>
      </c>
      <c r="C398" s="2">
        <v>84.33</v>
      </c>
      <c r="D398" s="2">
        <v>58.52</v>
      </c>
      <c r="E398" t="s">
        <v>145</v>
      </c>
      <c r="F398" t="s">
        <v>678</v>
      </c>
    </row>
    <row r="399" spans="1:6" ht="15.5" x14ac:dyDescent="0.35">
      <c r="A399" s="3" t="s">
        <v>152</v>
      </c>
      <c r="B399" s="3">
        <v>1.92</v>
      </c>
      <c r="C399" s="2">
        <v>88.86</v>
      </c>
      <c r="D399" s="2">
        <v>58.85</v>
      </c>
      <c r="E399" t="s">
        <v>152</v>
      </c>
      <c r="F399" t="s">
        <v>678</v>
      </c>
    </row>
    <row r="400" spans="1:6" ht="15.5" x14ac:dyDescent="0.35">
      <c r="A400" s="3" t="s">
        <v>153</v>
      </c>
      <c r="B400" s="3">
        <v>3.1</v>
      </c>
      <c r="C400" s="2">
        <v>90.1</v>
      </c>
      <c r="D400" s="2">
        <v>65.67</v>
      </c>
      <c r="E400" t="s">
        <v>153</v>
      </c>
      <c r="F400" t="s">
        <v>678</v>
      </c>
    </row>
    <row r="401" spans="1:6" ht="15.5" x14ac:dyDescent="0.35">
      <c r="A401" s="3" t="s">
        <v>283</v>
      </c>
      <c r="B401" s="3">
        <v>1.4</v>
      </c>
      <c r="C401" s="2">
        <v>88.06</v>
      </c>
      <c r="D401" s="2">
        <v>73.55</v>
      </c>
      <c r="E401" t="s">
        <v>283</v>
      </c>
      <c r="F401" t="s">
        <v>673</v>
      </c>
    </row>
    <row r="402" spans="1:6" ht="15.5" x14ac:dyDescent="0.35">
      <c r="A402" s="3" t="s">
        <v>86</v>
      </c>
      <c r="B402" s="3">
        <v>5.03</v>
      </c>
      <c r="C402" s="2">
        <v>90.35</v>
      </c>
      <c r="D402" s="2">
        <v>67.430000000000007</v>
      </c>
      <c r="E402" t="s">
        <v>86</v>
      </c>
      <c r="F402" t="s">
        <v>666</v>
      </c>
    </row>
    <row r="403" spans="1:6" ht="15.5" x14ac:dyDescent="0.35">
      <c r="A403" s="3" t="s">
        <v>85</v>
      </c>
      <c r="B403" s="3">
        <v>3.73</v>
      </c>
      <c r="C403" s="2">
        <v>87.36</v>
      </c>
      <c r="D403" s="2">
        <v>64.58</v>
      </c>
      <c r="E403" t="s">
        <v>85</v>
      </c>
      <c r="F403" t="s">
        <v>666</v>
      </c>
    </row>
    <row r="404" spans="1:6" ht="15.5" x14ac:dyDescent="0.35">
      <c r="A404" s="3" t="s">
        <v>105</v>
      </c>
      <c r="B404" s="3">
        <v>6.48</v>
      </c>
      <c r="C404" s="2">
        <v>81.28</v>
      </c>
      <c r="D404" s="2">
        <v>53.44</v>
      </c>
      <c r="E404" t="s">
        <v>105</v>
      </c>
      <c r="F404" t="s">
        <v>664</v>
      </c>
    </row>
    <row r="405" spans="1:6" ht="15.5" x14ac:dyDescent="0.35">
      <c r="A405" s="3" t="s">
        <v>81</v>
      </c>
      <c r="B405" s="3">
        <v>0.91</v>
      </c>
      <c r="C405" s="2">
        <v>90.62</v>
      </c>
      <c r="D405" s="2">
        <v>83.89</v>
      </c>
      <c r="E405" t="s">
        <v>81</v>
      </c>
      <c r="F405" t="s">
        <v>666</v>
      </c>
    </row>
    <row r="406" spans="1:6" ht="15.5" x14ac:dyDescent="0.35">
      <c r="A406" s="3" t="s">
        <v>310</v>
      </c>
      <c r="B406" s="3">
        <v>1.33</v>
      </c>
      <c r="C406" s="2">
        <v>87.66</v>
      </c>
      <c r="D406" s="2">
        <v>72.44</v>
      </c>
      <c r="E406" t="s">
        <v>310</v>
      </c>
      <c r="F406" t="s">
        <v>673</v>
      </c>
    </row>
    <row r="407" spans="1:6" ht="15.5" x14ac:dyDescent="0.35">
      <c r="A407" s="3" t="s">
        <v>322</v>
      </c>
      <c r="B407" s="3">
        <v>8.8000000000000007</v>
      </c>
      <c r="C407" s="2">
        <v>83.52</v>
      </c>
      <c r="D407" s="2">
        <v>39.409999999999997</v>
      </c>
      <c r="E407" t="s">
        <v>322</v>
      </c>
      <c r="F407" t="s">
        <v>709</v>
      </c>
    </row>
    <row r="408" spans="1:6" ht="15.5" x14ac:dyDescent="0.35">
      <c r="A408" s="3" t="s">
        <v>230</v>
      </c>
      <c r="B408" s="3">
        <v>1.91</v>
      </c>
      <c r="C408" s="2">
        <v>90.46</v>
      </c>
      <c r="D408" s="2">
        <v>67.98</v>
      </c>
      <c r="E408" t="s">
        <v>230</v>
      </c>
      <c r="F408" t="s">
        <v>670</v>
      </c>
    </row>
    <row r="409" spans="1:6" ht="15.5" x14ac:dyDescent="0.35">
      <c r="A409" s="3" t="s">
        <v>474</v>
      </c>
      <c r="B409" s="3">
        <v>3.9</v>
      </c>
      <c r="C409" s="2">
        <v>83.69</v>
      </c>
      <c r="D409" s="2">
        <v>54.52</v>
      </c>
      <c r="E409" t="s">
        <v>474</v>
      </c>
      <c r="F409" t="s">
        <v>675</v>
      </c>
    </row>
    <row r="410" spans="1:6" ht="15.5" x14ac:dyDescent="0.35">
      <c r="A410" s="3" t="s">
        <v>567</v>
      </c>
      <c r="B410" s="3">
        <v>4.13</v>
      </c>
      <c r="C410" s="2">
        <v>72.62</v>
      </c>
      <c r="D410" s="2">
        <v>62.8</v>
      </c>
      <c r="E410" t="s">
        <v>567</v>
      </c>
      <c r="F410" t="s">
        <v>693</v>
      </c>
    </row>
    <row r="411" spans="1:6" ht="15.5" x14ac:dyDescent="0.35">
      <c r="A411" s="3" t="s">
        <v>560</v>
      </c>
      <c r="B411" s="3">
        <v>6.96</v>
      </c>
      <c r="C411" s="2">
        <v>75.97</v>
      </c>
      <c r="D411" s="2">
        <v>50.54</v>
      </c>
    </row>
    <row r="412" spans="1:6" ht="15.5" x14ac:dyDescent="0.35">
      <c r="A412" s="3" t="s">
        <v>545</v>
      </c>
      <c r="B412" s="3">
        <v>4.55</v>
      </c>
      <c r="C412" s="2">
        <v>80.03</v>
      </c>
      <c r="D412" s="2">
        <v>57.73</v>
      </c>
    </row>
    <row r="413" spans="1:6" ht="15.5" x14ac:dyDescent="0.35">
      <c r="A413" s="3" t="s">
        <v>559</v>
      </c>
      <c r="B413" s="3">
        <v>6.85</v>
      </c>
      <c r="C413" s="2">
        <v>80.349999999999994</v>
      </c>
      <c r="D413" s="2">
        <v>54.63</v>
      </c>
    </row>
    <row r="414" spans="1:6" ht="15.5" x14ac:dyDescent="0.35">
      <c r="A414" s="3" t="s">
        <v>592</v>
      </c>
      <c r="B414" s="3">
        <v>1.68</v>
      </c>
      <c r="C414" s="2">
        <v>92.87</v>
      </c>
      <c r="D414" s="2">
        <v>88.08</v>
      </c>
    </row>
    <row r="415" spans="1:6" ht="15.5" x14ac:dyDescent="0.35">
      <c r="A415" s="3" t="s">
        <v>590</v>
      </c>
      <c r="B415" s="3">
        <v>4.04</v>
      </c>
      <c r="C415" s="2">
        <v>78.239999999999995</v>
      </c>
      <c r="D415" s="2">
        <v>55.32</v>
      </c>
    </row>
    <row r="416" spans="1:6" ht="15.5" x14ac:dyDescent="0.35">
      <c r="A416" s="3" t="s">
        <v>591</v>
      </c>
      <c r="B416" s="3">
        <v>3.62</v>
      </c>
      <c r="C416" s="2">
        <v>80.58</v>
      </c>
      <c r="D416" s="2">
        <v>66.09</v>
      </c>
    </row>
    <row r="417" spans="1:6" ht="15.5" x14ac:dyDescent="0.35">
      <c r="A417" s="3" t="s">
        <v>459</v>
      </c>
      <c r="B417" s="3">
        <v>2.1</v>
      </c>
      <c r="C417" s="2">
        <v>87.17</v>
      </c>
      <c r="D417" s="2">
        <v>65.44</v>
      </c>
      <c r="E417" t="s">
        <v>459</v>
      </c>
      <c r="F417" t="s">
        <v>671</v>
      </c>
    </row>
    <row r="418" spans="1:6" ht="15.5" x14ac:dyDescent="0.35">
      <c r="A418" s="3" t="s">
        <v>108</v>
      </c>
      <c r="B418" s="3">
        <v>5.29</v>
      </c>
      <c r="C418" s="2">
        <v>85.08</v>
      </c>
      <c r="D418" s="2">
        <v>60.13</v>
      </c>
      <c r="E418" t="s">
        <v>108</v>
      </c>
      <c r="F418" t="s">
        <v>664</v>
      </c>
    </row>
    <row r="419" spans="1:6" ht="15.5" x14ac:dyDescent="0.35">
      <c r="A419" s="3" t="s">
        <v>111</v>
      </c>
      <c r="B419" s="3">
        <v>5.95</v>
      </c>
      <c r="C419" s="2">
        <v>80.3</v>
      </c>
      <c r="D419" s="2">
        <v>55.61</v>
      </c>
      <c r="E419" t="s">
        <v>111</v>
      </c>
      <c r="F419" t="s">
        <v>664</v>
      </c>
    </row>
    <row r="420" spans="1:6" ht="15.5" x14ac:dyDescent="0.35">
      <c r="A420" s="3" t="s">
        <v>419</v>
      </c>
      <c r="B420" s="3">
        <v>4.62</v>
      </c>
      <c r="C420" s="2">
        <v>85.11</v>
      </c>
      <c r="D420" s="2">
        <v>41.43</v>
      </c>
      <c r="E420" t="s">
        <v>419</v>
      </c>
      <c r="F420" t="s">
        <v>685</v>
      </c>
    </row>
    <row r="421" spans="1:6" ht="15.5" x14ac:dyDescent="0.35">
      <c r="A421" s="3" t="s">
        <v>296</v>
      </c>
      <c r="B421" s="3">
        <v>4.22</v>
      </c>
      <c r="C421" s="2">
        <v>86.55</v>
      </c>
      <c r="D421" s="2">
        <v>63.05</v>
      </c>
      <c r="E421" t="s">
        <v>296</v>
      </c>
      <c r="F421" t="s">
        <v>673</v>
      </c>
    </row>
    <row r="422" spans="1:6" ht="15.5" x14ac:dyDescent="0.35">
      <c r="A422" s="3" t="s">
        <v>258</v>
      </c>
      <c r="B422" s="3">
        <v>3.71</v>
      </c>
      <c r="C422" s="2">
        <v>86.65</v>
      </c>
      <c r="D422" s="2">
        <v>67.66</v>
      </c>
      <c r="E422" t="s">
        <v>258</v>
      </c>
      <c r="F422" t="s">
        <v>674</v>
      </c>
    </row>
    <row r="423" spans="1:6" ht="15.5" x14ac:dyDescent="0.35">
      <c r="A423" s="3" t="s">
        <v>557</v>
      </c>
      <c r="B423" s="3">
        <v>0.72</v>
      </c>
      <c r="C423" s="2">
        <v>90.22</v>
      </c>
      <c r="D423" s="2">
        <v>89.32</v>
      </c>
      <c r="E423" t="s">
        <v>557</v>
      </c>
      <c r="F423" t="s">
        <v>695</v>
      </c>
    </row>
    <row r="424" spans="1:6" ht="15.5" x14ac:dyDescent="0.35">
      <c r="A424" s="3" t="s">
        <v>574</v>
      </c>
      <c r="B424" s="3">
        <v>2.92</v>
      </c>
      <c r="C424" s="2">
        <v>90.44</v>
      </c>
      <c r="D424" s="2">
        <v>89.32</v>
      </c>
      <c r="E424" t="s">
        <v>574</v>
      </c>
      <c r="F424" t="s">
        <v>698</v>
      </c>
    </row>
    <row r="425" spans="1:6" ht="15.5" x14ac:dyDescent="0.35">
      <c r="A425" s="3" t="s">
        <v>266</v>
      </c>
      <c r="B425" s="3">
        <v>3.24</v>
      </c>
      <c r="C425" s="2">
        <v>86.1</v>
      </c>
      <c r="D425" s="2">
        <v>68.2</v>
      </c>
      <c r="E425" t="s">
        <v>266</v>
      </c>
      <c r="F425" t="s">
        <v>674</v>
      </c>
    </row>
    <row r="426" spans="1:6" ht="15.5" x14ac:dyDescent="0.35">
      <c r="A426" s="3" t="s">
        <v>123</v>
      </c>
      <c r="B426" s="3">
        <v>2.42</v>
      </c>
      <c r="C426" s="2">
        <v>88.39</v>
      </c>
      <c r="D426" s="2">
        <v>51.11</v>
      </c>
      <c r="E426" t="s">
        <v>123</v>
      </c>
      <c r="F426" t="s">
        <v>682</v>
      </c>
    </row>
    <row r="427" spans="1:6" ht="15.5" x14ac:dyDescent="0.35">
      <c r="A427" s="3" t="s">
        <v>267</v>
      </c>
      <c r="B427" s="3">
        <v>6.61</v>
      </c>
      <c r="C427" s="2">
        <v>85.79</v>
      </c>
      <c r="D427" s="2">
        <v>57.88</v>
      </c>
      <c r="E427" t="s">
        <v>267</v>
      </c>
      <c r="F427" t="s">
        <v>674</v>
      </c>
    </row>
    <row r="428" spans="1:6" ht="15.5" x14ac:dyDescent="0.35">
      <c r="A428" s="3" t="s">
        <v>424</v>
      </c>
      <c r="B428" s="3">
        <v>4.26</v>
      </c>
      <c r="C428" s="2">
        <v>85.57</v>
      </c>
      <c r="D428" s="2">
        <v>57.34</v>
      </c>
      <c r="E428" t="s">
        <v>424</v>
      </c>
      <c r="F428" t="s">
        <v>685</v>
      </c>
    </row>
    <row r="429" spans="1:6" ht="15.5" x14ac:dyDescent="0.35">
      <c r="A429" s="3" t="s">
        <v>156</v>
      </c>
      <c r="B429" s="3">
        <v>3.69</v>
      </c>
      <c r="C429" s="2">
        <v>88.1</v>
      </c>
      <c r="D429" s="2">
        <v>64.290000000000006</v>
      </c>
      <c r="E429" t="s">
        <v>156</v>
      </c>
      <c r="F429" t="s">
        <v>678</v>
      </c>
    </row>
    <row r="430" spans="1:6" ht="15.5" x14ac:dyDescent="0.35">
      <c r="A430" s="3" t="s">
        <v>182</v>
      </c>
      <c r="B430" s="3">
        <v>4.17</v>
      </c>
      <c r="C430" s="2">
        <v>85.95</v>
      </c>
      <c r="D430" s="2">
        <v>50.04</v>
      </c>
      <c r="E430" t="s">
        <v>182</v>
      </c>
      <c r="F430" t="s">
        <v>706</v>
      </c>
    </row>
    <row r="431" spans="1:6" ht="15.5" x14ac:dyDescent="0.35">
      <c r="A431" s="3" t="s">
        <v>186</v>
      </c>
      <c r="B431" s="3">
        <v>3.27</v>
      </c>
      <c r="C431" s="2">
        <v>84.34</v>
      </c>
      <c r="D431" s="2">
        <v>63.28</v>
      </c>
      <c r="E431" t="s">
        <v>186</v>
      </c>
      <c r="F431" t="s">
        <v>706</v>
      </c>
    </row>
    <row r="432" spans="1:6" ht="15.5" x14ac:dyDescent="0.35">
      <c r="A432" s="3" t="s">
        <v>101</v>
      </c>
      <c r="B432" s="3">
        <v>5.0999999999999996</v>
      </c>
      <c r="C432" s="2">
        <v>86.72</v>
      </c>
      <c r="D432" s="2">
        <v>54.08</v>
      </c>
      <c r="E432" t="s">
        <v>101</v>
      </c>
      <c r="F432" t="s">
        <v>664</v>
      </c>
    </row>
    <row r="433" spans="1:6" ht="15.5" x14ac:dyDescent="0.35">
      <c r="A433" s="3" t="s">
        <v>50</v>
      </c>
      <c r="B433" s="3">
        <v>5.71</v>
      </c>
      <c r="C433" s="2">
        <v>76.98</v>
      </c>
      <c r="D433" s="2">
        <v>49.32</v>
      </c>
      <c r="E433" t="s">
        <v>50</v>
      </c>
      <c r="F433" t="s">
        <v>661</v>
      </c>
    </row>
    <row r="434" spans="1:6" ht="15.5" x14ac:dyDescent="0.35">
      <c r="A434" s="3" t="s">
        <v>59</v>
      </c>
      <c r="B434" s="3">
        <v>3.67</v>
      </c>
      <c r="C434" s="2">
        <v>78.31</v>
      </c>
      <c r="D434" s="2">
        <v>42.72</v>
      </c>
      <c r="E434" t="s">
        <v>59</v>
      </c>
      <c r="F434" t="s">
        <v>661</v>
      </c>
    </row>
    <row r="435" spans="1:6" ht="15.5" x14ac:dyDescent="0.35">
      <c r="A435" s="3" t="s">
        <v>480</v>
      </c>
      <c r="B435" s="3">
        <v>3.65</v>
      </c>
      <c r="C435" s="2">
        <v>81.48</v>
      </c>
      <c r="D435" s="2">
        <v>44.86</v>
      </c>
      <c r="E435" t="s">
        <v>480</v>
      </c>
      <c r="F435" t="s">
        <v>675</v>
      </c>
    </row>
    <row r="436" spans="1:6" ht="15.5" x14ac:dyDescent="0.35">
      <c r="A436" s="3" t="s">
        <v>511</v>
      </c>
      <c r="B436" s="3">
        <v>2.83</v>
      </c>
      <c r="C436" s="2">
        <v>88.09</v>
      </c>
      <c r="D436" s="2">
        <v>54.72</v>
      </c>
      <c r="E436" t="s">
        <v>511</v>
      </c>
      <c r="F436" t="s">
        <v>510</v>
      </c>
    </row>
    <row r="437" spans="1:6" ht="15.5" x14ac:dyDescent="0.35">
      <c r="A437" s="3" t="s">
        <v>517</v>
      </c>
      <c r="B437" s="3">
        <v>3.08</v>
      </c>
      <c r="C437" s="2">
        <v>86.71</v>
      </c>
      <c r="D437" s="2">
        <v>59.76</v>
      </c>
      <c r="E437" t="s">
        <v>517</v>
      </c>
      <c r="F437" t="s">
        <v>720</v>
      </c>
    </row>
    <row r="438" spans="1:6" ht="15.5" x14ac:dyDescent="0.35">
      <c r="A438" s="3" t="s">
        <v>284</v>
      </c>
      <c r="B438" s="3">
        <v>3.85</v>
      </c>
      <c r="C438" s="2">
        <v>86.69</v>
      </c>
      <c r="D438" s="2">
        <v>73.260000000000005</v>
      </c>
      <c r="E438" t="s">
        <v>284</v>
      </c>
      <c r="F438" t="s">
        <v>673</v>
      </c>
    </row>
    <row r="439" spans="1:6" ht="15.5" x14ac:dyDescent="0.35">
      <c r="A439" s="3" t="s">
        <v>455</v>
      </c>
      <c r="B439" s="3">
        <v>1.76</v>
      </c>
      <c r="C439" s="2">
        <v>85.03</v>
      </c>
      <c r="D439" s="2">
        <v>55.5</v>
      </c>
      <c r="E439" t="s">
        <v>455</v>
      </c>
      <c r="F439" t="s">
        <v>671</v>
      </c>
    </row>
    <row r="440" spans="1:6" ht="15.5" x14ac:dyDescent="0.35">
      <c r="A440" s="3" t="s">
        <v>183</v>
      </c>
      <c r="B440" s="3">
        <v>4.6500000000000004</v>
      </c>
      <c r="C440" s="2">
        <v>87.24</v>
      </c>
      <c r="D440" s="2">
        <v>55.37</v>
      </c>
      <c r="E440" t="s">
        <v>183</v>
      </c>
      <c r="F440" t="s">
        <v>706</v>
      </c>
    </row>
    <row r="441" spans="1:6" ht="15.5" x14ac:dyDescent="0.35">
      <c r="A441" s="3" t="s">
        <v>295</v>
      </c>
      <c r="B441" s="3">
        <v>2.92</v>
      </c>
      <c r="C441" s="2">
        <v>88.85</v>
      </c>
      <c r="D441" s="2">
        <v>65.13</v>
      </c>
      <c r="E441" t="s">
        <v>295</v>
      </c>
      <c r="F441" t="s">
        <v>673</v>
      </c>
    </row>
    <row r="442" spans="1:6" ht="15.5" x14ac:dyDescent="0.35">
      <c r="A442" s="3" t="s">
        <v>399</v>
      </c>
      <c r="B442" s="3">
        <v>2.23</v>
      </c>
      <c r="C442" s="2">
        <v>88.79</v>
      </c>
      <c r="D442" s="2">
        <v>57.96</v>
      </c>
      <c r="E442" t="s">
        <v>399</v>
      </c>
      <c r="F442" t="s">
        <v>679</v>
      </c>
    </row>
    <row r="443" spans="1:6" ht="15.5" x14ac:dyDescent="0.35">
      <c r="A443" s="3" t="s">
        <v>541</v>
      </c>
      <c r="B443" s="3">
        <v>4.74</v>
      </c>
      <c r="C443" s="2">
        <v>84.04</v>
      </c>
      <c r="D443" s="2">
        <v>49.31</v>
      </c>
      <c r="E443" t="s">
        <v>541</v>
      </c>
      <c r="F443" t="s">
        <v>697</v>
      </c>
    </row>
    <row r="444" spans="1:6" ht="15.5" x14ac:dyDescent="0.35">
      <c r="A444" s="3" t="s">
        <v>542</v>
      </c>
      <c r="B444" s="3">
        <v>3.4</v>
      </c>
      <c r="C444" s="2">
        <v>83.69</v>
      </c>
      <c r="D444" s="2">
        <v>46.74</v>
      </c>
      <c r="E444" t="s">
        <v>542</v>
      </c>
      <c r="F444" t="s">
        <v>697</v>
      </c>
    </row>
    <row r="445" spans="1:6" ht="15.5" x14ac:dyDescent="0.35">
      <c r="A445" s="3" t="s">
        <v>585</v>
      </c>
      <c r="B445" s="3">
        <v>0.14000000000000001</v>
      </c>
      <c r="C445" s="2">
        <v>93.06</v>
      </c>
      <c r="D445" s="2">
        <v>91.58</v>
      </c>
      <c r="E445" t="s">
        <v>585</v>
      </c>
      <c r="F445" t="s">
        <v>693</v>
      </c>
    </row>
    <row r="446" spans="1:6" ht="15.5" x14ac:dyDescent="0.35">
      <c r="A446" s="3" t="s">
        <v>568</v>
      </c>
      <c r="B446" s="3">
        <v>1.36</v>
      </c>
      <c r="C446" s="2">
        <v>84.94</v>
      </c>
      <c r="D446" s="2" t="s">
        <v>605</v>
      </c>
      <c r="E446" t="s">
        <v>568</v>
      </c>
      <c r="F446" t="s">
        <v>693</v>
      </c>
    </row>
    <row r="447" spans="1:6" ht="15.5" x14ac:dyDescent="0.35">
      <c r="A447" s="3" t="s">
        <v>243</v>
      </c>
      <c r="B447" s="3">
        <v>4.83</v>
      </c>
      <c r="C447" s="2">
        <v>87.27</v>
      </c>
      <c r="D447" s="2">
        <v>63.23</v>
      </c>
      <c r="E447" t="s">
        <v>243</v>
      </c>
      <c r="F447" t="s">
        <v>674</v>
      </c>
    </row>
    <row r="448" spans="1:6" ht="15.5" x14ac:dyDescent="0.35">
      <c r="A448" s="3" t="s">
        <v>226</v>
      </c>
      <c r="B448" s="3">
        <v>7.54</v>
      </c>
      <c r="C448" s="2">
        <v>84.84</v>
      </c>
      <c r="D448" s="2">
        <v>47.28</v>
      </c>
      <c r="E448" t="s">
        <v>226</v>
      </c>
      <c r="F448" t="s">
        <v>670</v>
      </c>
    </row>
    <row r="449" spans="1:6" ht="15.5" x14ac:dyDescent="0.35">
      <c r="A449" s="3" t="s">
        <v>246</v>
      </c>
      <c r="B449" s="3">
        <v>3.72</v>
      </c>
      <c r="C449" s="2">
        <v>85.83</v>
      </c>
      <c r="D449" s="2">
        <v>64.2</v>
      </c>
      <c r="E449" t="s">
        <v>246</v>
      </c>
      <c r="F449" t="s">
        <v>674</v>
      </c>
    </row>
    <row r="450" spans="1:6" ht="15.5" x14ac:dyDescent="0.35">
      <c r="A450" s="3" t="s">
        <v>553</v>
      </c>
      <c r="B450" s="3">
        <v>4.4800000000000004</v>
      </c>
      <c r="C450" s="2" t="s">
        <v>603</v>
      </c>
      <c r="D450" s="2">
        <v>49.23</v>
      </c>
      <c r="E450" t="s">
        <v>553</v>
      </c>
      <c r="F450" t="s">
        <v>716</v>
      </c>
    </row>
    <row r="451" spans="1:6" ht="15.5" x14ac:dyDescent="0.35">
      <c r="A451" s="3" t="s">
        <v>164</v>
      </c>
      <c r="B451" s="3">
        <v>2.91</v>
      </c>
      <c r="C451" s="2">
        <v>85.83</v>
      </c>
      <c r="D451" s="2">
        <v>66.28</v>
      </c>
      <c r="E451" t="s">
        <v>164</v>
      </c>
      <c r="F451" t="s">
        <v>684</v>
      </c>
    </row>
    <row r="452" spans="1:6" ht="15.5" x14ac:dyDescent="0.35">
      <c r="A452" s="3" t="s">
        <v>257</v>
      </c>
      <c r="B452" s="3">
        <v>2.9</v>
      </c>
      <c r="C452" s="2">
        <v>87.76</v>
      </c>
      <c r="D452" s="2">
        <v>64.17</v>
      </c>
      <c r="E452" t="s">
        <v>257</v>
      </c>
      <c r="F452" t="s">
        <v>674</v>
      </c>
    </row>
    <row r="453" spans="1:6" ht="15.5" x14ac:dyDescent="0.35">
      <c r="A453" s="3" t="s">
        <v>119</v>
      </c>
      <c r="B453" s="3">
        <v>4.16</v>
      </c>
      <c r="C453" s="2">
        <v>84.68</v>
      </c>
      <c r="D453" s="2">
        <v>47.68</v>
      </c>
    </row>
    <row r="454" spans="1:6" ht="15.5" x14ac:dyDescent="0.35">
      <c r="A454" s="3" t="s">
        <v>128</v>
      </c>
      <c r="B454" s="3">
        <v>4.41</v>
      </c>
      <c r="C454" s="2">
        <v>85.58</v>
      </c>
      <c r="D454" s="2">
        <v>41.64</v>
      </c>
      <c r="E454" t="s">
        <v>128</v>
      </c>
      <c r="F454" t="s">
        <v>682</v>
      </c>
    </row>
    <row r="455" spans="1:6" ht="15.5" x14ac:dyDescent="0.35">
      <c r="A455" s="3" t="s">
        <v>126</v>
      </c>
      <c r="B455" s="3">
        <v>3.17</v>
      </c>
      <c r="C455" s="2">
        <v>85.27</v>
      </c>
      <c r="D455" s="2">
        <v>45.67</v>
      </c>
      <c r="E455" t="s">
        <v>126</v>
      </c>
      <c r="F455" t="s">
        <v>682</v>
      </c>
    </row>
    <row r="456" spans="1:6" ht="15.5" x14ac:dyDescent="0.35">
      <c r="A456" s="3" t="s">
        <v>365</v>
      </c>
      <c r="B456" s="3">
        <v>2.1800000000000002</v>
      </c>
      <c r="C456" s="2">
        <v>79.64</v>
      </c>
      <c r="D456" s="2">
        <v>61.6</v>
      </c>
      <c r="E456" t="s">
        <v>365</v>
      </c>
      <c r="F456" t="s">
        <v>665</v>
      </c>
    </row>
    <row r="457" spans="1:6" ht="15.5" x14ac:dyDescent="0.35">
      <c r="A457" s="3" t="s">
        <v>371</v>
      </c>
      <c r="B457" s="3">
        <v>3.12</v>
      </c>
      <c r="C457" s="2">
        <v>79.73</v>
      </c>
      <c r="D457" s="2">
        <v>70.37</v>
      </c>
      <c r="E457" t="s">
        <v>371</v>
      </c>
      <c r="F457" t="s">
        <v>665</v>
      </c>
    </row>
    <row r="458" spans="1:6" ht="15.5" x14ac:dyDescent="0.35">
      <c r="A458" s="3" t="s">
        <v>375</v>
      </c>
      <c r="B458" s="3">
        <v>4.91</v>
      </c>
      <c r="C458" s="2">
        <v>84.35</v>
      </c>
      <c r="D458" s="2">
        <v>61.45</v>
      </c>
      <c r="E458" t="s">
        <v>375</v>
      </c>
      <c r="F458" t="s">
        <v>683</v>
      </c>
    </row>
    <row r="459" spans="1:6" ht="15.5" x14ac:dyDescent="0.35">
      <c r="A459" s="3" t="s">
        <v>82</v>
      </c>
      <c r="B459" s="3">
        <v>0.87</v>
      </c>
      <c r="C459" s="2">
        <v>86.67</v>
      </c>
      <c r="D459" s="2">
        <v>82.94</v>
      </c>
      <c r="E459" t="s">
        <v>82</v>
      </c>
      <c r="F459" t="s">
        <v>666</v>
      </c>
    </row>
    <row r="460" spans="1:6" ht="15.5" x14ac:dyDescent="0.35">
      <c r="A460" s="3" t="s">
        <v>309</v>
      </c>
      <c r="B460" s="3">
        <v>2.44</v>
      </c>
      <c r="C460" s="2">
        <v>88.21</v>
      </c>
      <c r="D460" s="2">
        <v>67.010000000000005</v>
      </c>
      <c r="E460" t="s">
        <v>309</v>
      </c>
      <c r="F460" t="s">
        <v>673</v>
      </c>
    </row>
    <row r="461" spans="1:6" ht="15.5" x14ac:dyDescent="0.35">
      <c r="A461" s="3" t="s">
        <v>379</v>
      </c>
      <c r="B461" s="3">
        <v>3.89</v>
      </c>
      <c r="C461" s="2">
        <v>85.57</v>
      </c>
      <c r="D461" s="2">
        <v>62.67</v>
      </c>
      <c r="E461" t="s">
        <v>379</v>
      </c>
      <c r="F461" t="s">
        <v>683</v>
      </c>
    </row>
    <row r="462" spans="1:6" ht="15.5" x14ac:dyDescent="0.35">
      <c r="A462" s="3" t="s">
        <v>576</v>
      </c>
      <c r="B462" s="3">
        <v>4.37</v>
      </c>
      <c r="C462" s="2">
        <v>80.36</v>
      </c>
      <c r="D462" s="2">
        <v>63.94</v>
      </c>
      <c r="E462" t="s">
        <v>576</v>
      </c>
      <c r="F462" t="s">
        <v>686</v>
      </c>
    </row>
    <row r="463" spans="1:6" ht="15.5" x14ac:dyDescent="0.35">
      <c r="A463" s="3" t="s">
        <v>135</v>
      </c>
      <c r="B463" s="3">
        <v>4.68</v>
      </c>
      <c r="C463" s="2">
        <v>88.51</v>
      </c>
      <c r="D463" s="2">
        <v>45.73</v>
      </c>
      <c r="E463" t="s">
        <v>135</v>
      </c>
      <c r="F463" t="s">
        <v>681</v>
      </c>
    </row>
    <row r="464" spans="1:6" ht="15.5" x14ac:dyDescent="0.35">
      <c r="A464" s="3" t="s">
        <v>383</v>
      </c>
      <c r="B464" s="3">
        <v>2.54</v>
      </c>
      <c r="C464" s="2">
        <v>90.9</v>
      </c>
      <c r="D464" s="2">
        <v>63.76</v>
      </c>
      <c r="E464" t="s">
        <v>383</v>
      </c>
      <c r="F464" t="s">
        <v>683</v>
      </c>
    </row>
    <row r="465" spans="1:6" ht="15.5" x14ac:dyDescent="0.35">
      <c r="A465" s="3" t="s">
        <v>167</v>
      </c>
      <c r="B465" s="3">
        <v>2.0699999999999998</v>
      </c>
      <c r="C465" s="2">
        <v>88.1</v>
      </c>
      <c r="D465" s="2">
        <v>57.88</v>
      </c>
      <c r="E465" t="s">
        <v>167</v>
      </c>
      <c r="F465" t="s">
        <v>684</v>
      </c>
    </row>
    <row r="466" spans="1:6" ht="15.5" x14ac:dyDescent="0.35">
      <c r="A466" s="3" t="s">
        <v>262</v>
      </c>
      <c r="B466" s="3">
        <v>3.63</v>
      </c>
      <c r="C466" s="2">
        <v>88.76</v>
      </c>
      <c r="D466" s="2">
        <v>71.16</v>
      </c>
      <c r="E466" t="s">
        <v>262</v>
      </c>
      <c r="F466" t="s">
        <v>674</v>
      </c>
    </row>
    <row r="467" spans="1:6" ht="15.5" x14ac:dyDescent="0.35">
      <c r="A467" s="3" t="s">
        <v>528</v>
      </c>
      <c r="B467" s="3">
        <v>4.92</v>
      </c>
      <c r="C467" s="2">
        <v>81.86</v>
      </c>
      <c r="D467" s="2">
        <v>59.21</v>
      </c>
      <c r="E467" t="s">
        <v>528</v>
      </c>
      <c r="F467" t="s">
        <v>692</v>
      </c>
    </row>
    <row r="468" spans="1:6" ht="15.5" x14ac:dyDescent="0.35">
      <c r="A468" s="3" t="s">
        <v>529</v>
      </c>
      <c r="B468" s="3">
        <v>3.18</v>
      </c>
      <c r="C468" s="2">
        <v>72.760000000000005</v>
      </c>
      <c r="D468" s="2">
        <v>50.66</v>
      </c>
      <c r="E468" t="s">
        <v>529</v>
      </c>
      <c r="F468" t="s">
        <v>692</v>
      </c>
    </row>
    <row r="469" spans="1:6" ht="15.5" x14ac:dyDescent="0.35">
      <c r="A469" s="3" t="s">
        <v>325</v>
      </c>
      <c r="B469" s="3">
        <v>8.73</v>
      </c>
      <c r="C469" s="2">
        <v>84.63</v>
      </c>
      <c r="D469" s="2">
        <v>49.66</v>
      </c>
      <c r="E469" t="s">
        <v>325</v>
      </c>
      <c r="F469" t="s">
        <v>709</v>
      </c>
    </row>
    <row r="470" spans="1:6" ht="15.5" x14ac:dyDescent="0.35">
      <c r="A470" s="3" t="s">
        <v>83</v>
      </c>
      <c r="B470" s="3">
        <v>4.3099999999999996</v>
      </c>
      <c r="C470" s="2">
        <v>89.69</v>
      </c>
      <c r="D470" s="2">
        <v>56.01</v>
      </c>
      <c r="E470" t="s">
        <v>83</v>
      </c>
      <c r="F470" t="s">
        <v>666</v>
      </c>
    </row>
    <row r="471" spans="1:6" ht="15.5" x14ac:dyDescent="0.35">
      <c r="A471" s="3" t="s">
        <v>397</v>
      </c>
      <c r="B471" s="3">
        <v>3.44</v>
      </c>
      <c r="C471" s="2">
        <v>87.12</v>
      </c>
      <c r="D471" s="2">
        <v>48.75</v>
      </c>
      <c r="E471" t="s">
        <v>397</v>
      </c>
      <c r="F471" t="s">
        <v>679</v>
      </c>
    </row>
    <row r="472" spans="1:6" ht="15.5" x14ac:dyDescent="0.35">
      <c r="A472" s="3" t="s">
        <v>124</v>
      </c>
      <c r="B472" s="3">
        <v>5.3</v>
      </c>
      <c r="C472" s="2">
        <v>85.44</v>
      </c>
      <c r="D472" s="2">
        <v>43.93</v>
      </c>
      <c r="E472" t="s">
        <v>124</v>
      </c>
      <c r="F472" t="s">
        <v>682</v>
      </c>
    </row>
    <row r="473" spans="1:6" ht="15.5" x14ac:dyDescent="0.35">
      <c r="A473" s="3" t="s">
        <v>443</v>
      </c>
      <c r="B473" s="3">
        <v>2.41</v>
      </c>
      <c r="C473" s="2">
        <v>81.11</v>
      </c>
      <c r="D473" s="2">
        <v>62.19</v>
      </c>
      <c r="E473" t="s">
        <v>699</v>
      </c>
      <c r="F473" t="s">
        <v>689</v>
      </c>
    </row>
    <row r="474" spans="1:6" ht="15.5" x14ac:dyDescent="0.35">
      <c r="A474" s="3" t="s">
        <v>479</v>
      </c>
      <c r="B474" s="3">
        <v>3.36</v>
      </c>
      <c r="C474" s="2">
        <v>79.91</v>
      </c>
      <c r="D474" s="2">
        <v>37.03</v>
      </c>
      <c r="E474" t="s">
        <v>479</v>
      </c>
      <c r="F474" t="s">
        <v>675</v>
      </c>
    </row>
    <row r="475" spans="1:6" ht="15.5" x14ac:dyDescent="0.35">
      <c r="A475" s="3" t="s">
        <v>297</v>
      </c>
      <c r="B475" s="3">
        <v>5.75</v>
      </c>
      <c r="C475" s="2">
        <v>83.56</v>
      </c>
      <c r="D475" s="2">
        <v>55.53</v>
      </c>
      <c r="E475" t="s">
        <v>297</v>
      </c>
      <c r="F475" t="s">
        <v>673</v>
      </c>
    </row>
    <row r="476" spans="1:6" ht="15.5" x14ac:dyDescent="0.35">
      <c r="A476" s="3" t="s">
        <v>461</v>
      </c>
      <c r="B476" s="3">
        <v>2.2999999999999998</v>
      </c>
      <c r="C476" s="2">
        <v>87.92</v>
      </c>
      <c r="D476" s="2">
        <v>63.64</v>
      </c>
      <c r="E476" t="s">
        <v>461</v>
      </c>
      <c r="F476" t="s">
        <v>671</v>
      </c>
    </row>
    <row r="477" spans="1:6" ht="15.5" x14ac:dyDescent="0.35">
      <c r="A477" s="3" t="s">
        <v>103</v>
      </c>
      <c r="B477" s="3">
        <v>4.59</v>
      </c>
      <c r="C477" s="2">
        <v>87.16</v>
      </c>
      <c r="D477" s="2">
        <v>63.33</v>
      </c>
      <c r="E477" t="s">
        <v>103</v>
      </c>
      <c r="F477" t="s">
        <v>664</v>
      </c>
    </row>
    <row r="478" spans="1:6" ht="15.5" x14ac:dyDescent="0.35">
      <c r="A478" s="3" t="s">
        <v>361</v>
      </c>
      <c r="B478" s="3">
        <v>2.62</v>
      </c>
      <c r="C478" s="2">
        <v>80.599999999999994</v>
      </c>
      <c r="D478" s="2">
        <v>64.2</v>
      </c>
      <c r="E478" t="s">
        <v>361</v>
      </c>
      <c r="F478" t="s">
        <v>665</v>
      </c>
    </row>
    <row r="479" spans="1:6" ht="15.5" x14ac:dyDescent="0.35">
      <c r="A479" s="3" t="s">
        <v>74</v>
      </c>
      <c r="B479" s="3">
        <v>4.4800000000000004</v>
      </c>
      <c r="C479" s="2">
        <v>88.81</v>
      </c>
      <c r="D479" s="2">
        <v>60.16</v>
      </c>
      <c r="E479" t="s">
        <v>74</v>
      </c>
      <c r="F479" t="s">
        <v>666</v>
      </c>
    </row>
    <row r="480" spans="1:6" ht="15.5" x14ac:dyDescent="0.35">
      <c r="A480" s="3" t="s">
        <v>42</v>
      </c>
      <c r="B480" s="3">
        <v>5.31</v>
      </c>
      <c r="C480" s="2">
        <v>82.15</v>
      </c>
      <c r="D480" s="2">
        <v>58.12</v>
      </c>
      <c r="E480" t="s">
        <v>42</v>
      </c>
      <c r="F480" t="s">
        <v>661</v>
      </c>
    </row>
    <row r="481" spans="1:6" ht="15.5" x14ac:dyDescent="0.35">
      <c r="A481" s="3" t="s">
        <v>472</v>
      </c>
      <c r="B481" s="3">
        <v>2.1</v>
      </c>
      <c r="C481" s="2">
        <v>88.05</v>
      </c>
      <c r="D481" s="2">
        <v>71.150000000000006</v>
      </c>
      <c r="E481" t="s">
        <v>472</v>
      </c>
      <c r="F481" t="s">
        <v>675</v>
      </c>
    </row>
    <row r="482" spans="1:6" ht="15.5" x14ac:dyDescent="0.35">
      <c r="A482" s="3" t="s">
        <v>381</v>
      </c>
      <c r="B482" s="3">
        <v>2.78</v>
      </c>
      <c r="C482" s="2">
        <v>89.18</v>
      </c>
      <c r="D482" s="2">
        <v>57.8</v>
      </c>
      <c r="E482" t="s">
        <v>381</v>
      </c>
      <c r="F482" t="s">
        <v>683</v>
      </c>
    </row>
    <row r="483" spans="1:6" ht="15.5" x14ac:dyDescent="0.35">
      <c r="A483" s="3" t="s">
        <v>294</v>
      </c>
      <c r="B483" s="3">
        <v>3.02</v>
      </c>
      <c r="C483" s="2">
        <v>89.09</v>
      </c>
      <c r="D483" s="2">
        <v>68.47</v>
      </c>
      <c r="E483" t="s">
        <v>294</v>
      </c>
      <c r="F483" t="s">
        <v>673</v>
      </c>
    </row>
    <row r="484" spans="1:6" ht="15.5" x14ac:dyDescent="0.35">
      <c r="A484" s="3" t="s">
        <v>280</v>
      </c>
      <c r="B484" s="3">
        <v>4.07</v>
      </c>
      <c r="C484" s="2">
        <v>82.62</v>
      </c>
      <c r="D484" s="2">
        <v>63.64</v>
      </c>
      <c r="E484" t="s">
        <v>280</v>
      </c>
      <c r="F484" t="s">
        <v>676</v>
      </c>
    </row>
    <row r="485" spans="1:6" ht="15.5" x14ac:dyDescent="0.35">
      <c r="A485" s="3" t="s">
        <v>102</v>
      </c>
      <c r="B485" s="3">
        <v>4.7</v>
      </c>
      <c r="C485" s="2">
        <v>87.3</v>
      </c>
      <c r="D485" s="2">
        <v>66.95</v>
      </c>
      <c r="E485" t="s">
        <v>102</v>
      </c>
      <c r="F485" t="s">
        <v>664</v>
      </c>
    </row>
    <row r="486" spans="1:6" ht="15.5" x14ac:dyDescent="0.35">
      <c r="A486" s="3" t="s">
        <v>109</v>
      </c>
      <c r="B486" s="3">
        <v>2.13</v>
      </c>
      <c r="C486" s="2">
        <v>88.84</v>
      </c>
      <c r="D486" s="2">
        <v>66.790000000000006</v>
      </c>
      <c r="E486" t="s">
        <v>109</v>
      </c>
      <c r="F486" t="s">
        <v>664</v>
      </c>
    </row>
    <row r="487" spans="1:6" ht="15.5" x14ac:dyDescent="0.35">
      <c r="A487" s="3" t="s">
        <v>477</v>
      </c>
      <c r="B487" s="3">
        <v>4.01</v>
      </c>
      <c r="C487" s="2">
        <v>77.760000000000005</v>
      </c>
      <c r="D487" s="2">
        <v>44.92</v>
      </c>
      <c r="E487" t="s">
        <v>477</v>
      </c>
      <c r="F487" t="s">
        <v>675</v>
      </c>
    </row>
    <row r="488" spans="1:6" ht="15.5" x14ac:dyDescent="0.35">
      <c r="A488" s="3" t="s">
        <v>552</v>
      </c>
      <c r="B488" s="3">
        <v>4.3899999999999997</v>
      </c>
      <c r="C488" s="2">
        <v>84.28</v>
      </c>
      <c r="D488" s="2">
        <v>54.64</v>
      </c>
      <c r="E488" t="s">
        <v>552</v>
      </c>
      <c r="F488" t="s">
        <v>716</v>
      </c>
    </row>
    <row r="489" spans="1:6" ht="15.5" x14ac:dyDescent="0.35">
      <c r="A489" s="3" t="s">
        <v>551</v>
      </c>
      <c r="B489" s="3">
        <v>3.14</v>
      </c>
      <c r="C489" s="2">
        <v>76.61</v>
      </c>
      <c r="D489" s="2">
        <v>61.12</v>
      </c>
      <c r="E489" t="s">
        <v>551</v>
      </c>
      <c r="F489" t="s">
        <v>716</v>
      </c>
    </row>
    <row r="490" spans="1:6" ht="15.5" x14ac:dyDescent="0.35">
      <c r="A490" s="3" t="s">
        <v>254</v>
      </c>
      <c r="B490" s="3">
        <v>3.49</v>
      </c>
      <c r="C490" s="2">
        <v>84.95</v>
      </c>
      <c r="D490" s="2">
        <v>65.03</v>
      </c>
      <c r="E490" t="s">
        <v>254</v>
      </c>
      <c r="F490" t="s">
        <v>674</v>
      </c>
    </row>
    <row r="491" spans="1:6" ht="15.5" x14ac:dyDescent="0.35">
      <c r="A491" s="3" t="s">
        <v>225</v>
      </c>
      <c r="B491" s="3">
        <v>6.8</v>
      </c>
      <c r="C491" s="2">
        <v>85.59</v>
      </c>
      <c r="D491" s="2">
        <v>52.44</v>
      </c>
      <c r="E491" t="s">
        <v>225</v>
      </c>
      <c r="F491" t="s">
        <v>670</v>
      </c>
    </row>
    <row r="492" spans="1:6" ht="15.5" x14ac:dyDescent="0.35">
      <c r="A492" s="3" t="s">
        <v>214</v>
      </c>
      <c r="B492" s="3">
        <v>7.23</v>
      </c>
      <c r="C492" s="2">
        <v>87.29</v>
      </c>
      <c r="D492" s="2">
        <v>51.81</v>
      </c>
      <c r="E492" t="s">
        <v>214</v>
      </c>
      <c r="F492" t="s">
        <v>670</v>
      </c>
    </row>
    <row r="493" spans="1:6" ht="15.5" x14ac:dyDescent="0.35">
      <c r="A493" s="3" t="s">
        <v>395</v>
      </c>
      <c r="B493" s="3">
        <v>4.47</v>
      </c>
      <c r="C493" s="2">
        <v>85.85</v>
      </c>
      <c r="D493" s="2">
        <v>52.84</v>
      </c>
      <c r="E493" t="s">
        <v>395</v>
      </c>
      <c r="F493" t="s">
        <v>679</v>
      </c>
    </row>
    <row r="494" spans="1:6" ht="15.5" x14ac:dyDescent="0.35">
      <c r="A494" s="3" t="s">
        <v>251</v>
      </c>
      <c r="B494" s="3">
        <v>4.32</v>
      </c>
      <c r="C494" s="2">
        <v>80.14</v>
      </c>
      <c r="D494" s="2">
        <v>59.99</v>
      </c>
      <c r="E494" t="s">
        <v>251</v>
      </c>
      <c r="F494" t="s">
        <v>674</v>
      </c>
    </row>
    <row r="495" spans="1:6" ht="15.5" x14ac:dyDescent="0.35">
      <c r="A495" s="3" t="s">
        <v>515</v>
      </c>
      <c r="B495" s="3">
        <v>2.86</v>
      </c>
      <c r="C495" s="2">
        <v>87.47</v>
      </c>
      <c r="D495" s="2">
        <v>60.68</v>
      </c>
    </row>
    <row r="496" spans="1:6" ht="15.5" x14ac:dyDescent="0.35">
      <c r="A496" s="3" t="s">
        <v>465</v>
      </c>
      <c r="B496" s="3">
        <v>4.21</v>
      </c>
      <c r="C496" s="2">
        <v>82.8</v>
      </c>
      <c r="D496" s="2">
        <v>52.95</v>
      </c>
    </row>
    <row r="497" spans="1:6" ht="15.5" x14ac:dyDescent="0.35">
      <c r="A497" s="3" t="s">
        <v>451</v>
      </c>
      <c r="B497" s="3">
        <v>2.92</v>
      </c>
      <c r="C497" s="2">
        <v>86.02</v>
      </c>
      <c r="D497" s="2">
        <v>58.05</v>
      </c>
    </row>
    <row r="498" spans="1:6" ht="15.5" x14ac:dyDescent="0.35">
      <c r="A498" s="3" t="s">
        <v>490</v>
      </c>
      <c r="B498" s="3">
        <v>3.31</v>
      </c>
      <c r="C498" s="2">
        <v>83.56</v>
      </c>
      <c r="D498" s="2">
        <v>59.49</v>
      </c>
    </row>
    <row r="499" spans="1:6" ht="15.5" x14ac:dyDescent="0.35">
      <c r="A499" s="3" t="s">
        <v>435</v>
      </c>
      <c r="B499" s="3">
        <v>5.99</v>
      </c>
      <c r="C499" s="2">
        <v>83.26</v>
      </c>
      <c r="D499" s="2">
        <v>50.51</v>
      </c>
    </row>
    <row r="500" spans="1:6" ht="15.5" x14ac:dyDescent="0.35">
      <c r="A500" s="3" t="s">
        <v>99</v>
      </c>
      <c r="B500" s="3">
        <v>5.62</v>
      </c>
      <c r="C500" s="2">
        <v>83.21</v>
      </c>
      <c r="D500" s="2">
        <v>59.4</v>
      </c>
    </row>
    <row r="501" spans="1:6" ht="15.5" x14ac:dyDescent="0.35">
      <c r="A501" s="3" t="s">
        <v>144</v>
      </c>
      <c r="B501" s="3">
        <v>3.69</v>
      </c>
      <c r="C501" s="2">
        <v>84.82</v>
      </c>
      <c r="D501" s="2">
        <v>54.46</v>
      </c>
    </row>
    <row r="502" spans="1:6" ht="15.5" x14ac:dyDescent="0.35">
      <c r="A502" s="3" t="s">
        <v>65</v>
      </c>
      <c r="B502" s="3">
        <v>5.32</v>
      </c>
      <c r="C502" s="2">
        <v>84.85</v>
      </c>
      <c r="D502" s="2">
        <v>59.8</v>
      </c>
    </row>
    <row r="503" spans="1:6" ht="15.5" x14ac:dyDescent="0.35">
      <c r="A503" s="3" t="s">
        <v>352</v>
      </c>
      <c r="B503" s="3">
        <v>3.27</v>
      </c>
      <c r="C503" s="2">
        <v>81.77</v>
      </c>
      <c r="D503" s="2">
        <v>71.91</v>
      </c>
      <c r="E503" t="s">
        <v>352</v>
      </c>
      <c r="F503" t="s">
        <v>665</v>
      </c>
    </row>
    <row r="504" spans="1:6" ht="15.5" x14ac:dyDescent="0.35">
      <c r="A504" s="3" t="s">
        <v>368</v>
      </c>
      <c r="B504" s="3">
        <v>1.7</v>
      </c>
      <c r="C504" s="2">
        <v>86.66</v>
      </c>
      <c r="D504" s="2">
        <v>77.88</v>
      </c>
      <c r="E504" t="s">
        <v>368</v>
      </c>
      <c r="F504" t="s">
        <v>665</v>
      </c>
    </row>
    <row r="505" spans="1:6" ht="15.5" x14ac:dyDescent="0.35">
      <c r="A505" s="3" t="s">
        <v>367</v>
      </c>
      <c r="B505" s="3">
        <v>2.4900000000000002</v>
      </c>
      <c r="C505" s="2">
        <v>84.98</v>
      </c>
      <c r="D505" s="2">
        <v>69.33</v>
      </c>
      <c r="E505" t="s">
        <v>367</v>
      </c>
      <c r="F505" t="s">
        <v>665</v>
      </c>
    </row>
    <row r="506" spans="1:6" ht="15.5" x14ac:dyDescent="0.35">
      <c r="A506" s="3" t="s">
        <v>353</v>
      </c>
      <c r="B506" s="3">
        <v>3.36</v>
      </c>
      <c r="C506" s="2">
        <v>80.64</v>
      </c>
      <c r="D506" s="2">
        <v>70.11</v>
      </c>
      <c r="E506" t="s">
        <v>353</v>
      </c>
      <c r="F506" t="s">
        <v>665</v>
      </c>
    </row>
    <row r="507" spans="1:6" ht="15.5" x14ac:dyDescent="0.35">
      <c r="A507" s="3" t="s">
        <v>344</v>
      </c>
      <c r="B507" s="3">
        <v>2.6</v>
      </c>
      <c r="C507" s="2">
        <v>86.87</v>
      </c>
      <c r="D507" s="2">
        <v>59.55</v>
      </c>
      <c r="E507" t="s">
        <v>344</v>
      </c>
      <c r="F507" t="s">
        <v>687</v>
      </c>
    </row>
    <row r="508" spans="1:6" ht="15.5" x14ac:dyDescent="0.35">
      <c r="A508" s="3" t="s">
        <v>347</v>
      </c>
      <c r="B508" s="3">
        <v>4.13</v>
      </c>
      <c r="C508" s="2">
        <v>84.06</v>
      </c>
      <c r="D508" s="2">
        <v>62.32</v>
      </c>
      <c r="E508" t="s">
        <v>347</v>
      </c>
      <c r="F508" t="s">
        <v>687</v>
      </c>
    </row>
    <row r="509" spans="1:6" ht="15.5" x14ac:dyDescent="0.35">
      <c r="A509" s="3" t="s">
        <v>223</v>
      </c>
      <c r="B509" s="3">
        <v>6.08</v>
      </c>
      <c r="C509" s="2">
        <v>84.93</v>
      </c>
      <c r="D509" s="2">
        <v>45.72</v>
      </c>
      <c r="E509" t="s">
        <v>223</v>
      </c>
      <c r="F509" t="s">
        <v>670</v>
      </c>
    </row>
    <row r="510" spans="1:6" ht="15.5" x14ac:dyDescent="0.35">
      <c r="A510" s="3" t="s">
        <v>311</v>
      </c>
      <c r="B510" s="3">
        <v>1.64</v>
      </c>
      <c r="C510" s="2">
        <v>87.68</v>
      </c>
      <c r="D510" s="2">
        <v>72.94</v>
      </c>
      <c r="E510" t="s">
        <v>311</v>
      </c>
      <c r="F510" t="s">
        <v>673</v>
      </c>
    </row>
    <row r="511" spans="1:6" ht="15.5" x14ac:dyDescent="0.35">
      <c r="A511" s="3" t="s">
        <v>579</v>
      </c>
      <c r="B511" s="3">
        <v>7.32</v>
      </c>
      <c r="C511" s="2">
        <v>66.739999999999995</v>
      </c>
      <c r="D511" s="2">
        <v>47.44</v>
      </c>
      <c r="E511" t="s">
        <v>579</v>
      </c>
      <c r="F511" t="s">
        <v>686</v>
      </c>
    </row>
    <row r="512" spans="1:6" ht="15.5" x14ac:dyDescent="0.35">
      <c r="A512" s="3" t="s">
        <v>413</v>
      </c>
      <c r="B512" s="3">
        <v>3.48</v>
      </c>
      <c r="C512" s="2">
        <v>85.16</v>
      </c>
      <c r="D512" s="2">
        <v>56.63</v>
      </c>
      <c r="E512" t="s">
        <v>413</v>
      </c>
      <c r="F512" t="s">
        <v>669</v>
      </c>
    </row>
    <row r="513" spans="1:6" ht="15.5" x14ac:dyDescent="0.35">
      <c r="A513" s="3" t="s">
        <v>332</v>
      </c>
      <c r="B513" s="3">
        <v>1.58</v>
      </c>
      <c r="C513" s="2">
        <v>83.67</v>
      </c>
      <c r="D513" s="2">
        <v>70.28</v>
      </c>
      <c r="E513" t="s">
        <v>332</v>
      </c>
      <c r="F513" t="s">
        <v>668</v>
      </c>
    </row>
    <row r="514" spans="1:6" ht="15.5" x14ac:dyDescent="0.35">
      <c r="A514" s="3" t="s">
        <v>470</v>
      </c>
      <c r="B514" s="3">
        <v>3.76</v>
      </c>
      <c r="C514" s="2">
        <v>86.89</v>
      </c>
      <c r="D514" s="2">
        <v>53.63</v>
      </c>
      <c r="E514" t="s">
        <v>470</v>
      </c>
      <c r="F514" t="s">
        <v>675</v>
      </c>
    </row>
    <row r="515" spans="1:6" ht="15.5" x14ac:dyDescent="0.35">
      <c r="A515" s="3" t="s">
        <v>554</v>
      </c>
      <c r="B515" s="3">
        <v>2.0299999999999998</v>
      </c>
      <c r="C515" s="2">
        <v>86.09</v>
      </c>
      <c r="D515" s="2">
        <v>73.239999999999995</v>
      </c>
      <c r="E515" t="s">
        <v>554</v>
      </c>
      <c r="F515" t="s">
        <v>716</v>
      </c>
    </row>
    <row r="516" spans="1:6" ht="15.5" x14ac:dyDescent="0.35">
      <c r="A516" s="3" t="s">
        <v>432</v>
      </c>
      <c r="B516" s="3">
        <v>3.68</v>
      </c>
      <c r="C516" s="2">
        <v>85.82</v>
      </c>
      <c r="D516" s="2">
        <v>59.71</v>
      </c>
      <c r="E516" t="s">
        <v>432</v>
      </c>
      <c r="F516" t="s">
        <v>691</v>
      </c>
    </row>
    <row r="517" spans="1:6" ht="15.5" x14ac:dyDescent="0.35">
      <c r="A517" s="3" t="s">
        <v>483</v>
      </c>
      <c r="B517" s="3">
        <v>3.44</v>
      </c>
      <c r="C517" s="2">
        <v>81.900000000000006</v>
      </c>
      <c r="D517" s="2">
        <v>71.59</v>
      </c>
      <c r="E517" t="s">
        <v>483</v>
      </c>
      <c r="F517" t="s">
        <v>675</v>
      </c>
    </row>
    <row r="518" spans="1:6" ht="15.5" x14ac:dyDescent="0.35">
      <c r="A518" s="3" t="s">
        <v>414</v>
      </c>
      <c r="B518" s="3">
        <v>6.05</v>
      </c>
      <c r="C518" s="2">
        <v>86.96</v>
      </c>
      <c r="D518" s="2">
        <v>51.96</v>
      </c>
      <c r="E518" t="s">
        <v>414</v>
      </c>
      <c r="F518" t="s">
        <v>669</v>
      </c>
    </row>
    <row r="519" spans="1:6" ht="15.5" x14ac:dyDescent="0.35">
      <c r="A519" s="3" t="s">
        <v>104</v>
      </c>
      <c r="B519" s="3">
        <v>5.26</v>
      </c>
      <c r="C519" s="2">
        <v>84.45</v>
      </c>
      <c r="D519" s="2">
        <v>61.11</v>
      </c>
      <c r="E519" t="s">
        <v>104</v>
      </c>
      <c r="F519" t="s">
        <v>664</v>
      </c>
    </row>
    <row r="520" spans="1:6" ht="15.5" x14ac:dyDescent="0.35">
      <c r="A520" s="3" t="s">
        <v>405</v>
      </c>
      <c r="B520" s="3">
        <v>3.3</v>
      </c>
      <c r="C520" s="2">
        <v>88.59</v>
      </c>
      <c r="D520" s="2">
        <v>54.61</v>
      </c>
      <c r="E520" t="s">
        <v>405</v>
      </c>
      <c r="F520" t="s">
        <v>669</v>
      </c>
    </row>
    <row r="521" spans="1:6" ht="15.5" x14ac:dyDescent="0.35">
      <c r="A521" s="3" t="s">
        <v>324</v>
      </c>
      <c r="B521" s="3">
        <v>5.94</v>
      </c>
      <c r="C521" s="2">
        <v>83.64</v>
      </c>
      <c r="D521" s="2">
        <v>48.27</v>
      </c>
      <c r="E521" t="s">
        <v>324</v>
      </c>
      <c r="F521" t="s">
        <v>709</v>
      </c>
    </row>
    <row r="522" spans="1:6" ht="15.5" x14ac:dyDescent="0.35">
      <c r="A522" s="3" t="s">
        <v>175</v>
      </c>
      <c r="B522" s="3">
        <v>3.44</v>
      </c>
      <c r="C522" s="2">
        <v>85.71</v>
      </c>
      <c r="D522" s="2">
        <v>52.93</v>
      </c>
      <c r="E522" t="s">
        <v>175</v>
      </c>
      <c r="F522" t="s">
        <v>706</v>
      </c>
    </row>
    <row r="523" spans="1:6" ht="15.5" x14ac:dyDescent="0.35">
      <c r="A523" s="3" t="s">
        <v>139</v>
      </c>
      <c r="B523" s="3">
        <v>3.12</v>
      </c>
      <c r="C523" s="2">
        <v>87.12</v>
      </c>
      <c r="D523" s="2">
        <v>37.75</v>
      </c>
      <c r="E523" t="s">
        <v>139</v>
      </c>
      <c r="F523" t="s">
        <v>681</v>
      </c>
    </row>
    <row r="524" spans="1:6" ht="15.5" x14ac:dyDescent="0.35">
      <c r="A524" s="3" t="s">
        <v>138</v>
      </c>
      <c r="B524" s="3">
        <v>2</v>
      </c>
      <c r="C524" s="2">
        <v>85.29</v>
      </c>
      <c r="D524" s="2">
        <v>51.91</v>
      </c>
      <c r="E524" t="s">
        <v>138</v>
      </c>
      <c r="F524" t="s">
        <v>681</v>
      </c>
    </row>
    <row r="525" spans="1:6" ht="15.5" x14ac:dyDescent="0.35">
      <c r="A525" s="3" t="s">
        <v>68</v>
      </c>
      <c r="B525" s="3">
        <v>3.35</v>
      </c>
      <c r="C525" s="2">
        <v>85.04</v>
      </c>
      <c r="D525" s="2">
        <v>65.599999999999994</v>
      </c>
      <c r="E525" t="s">
        <v>68</v>
      </c>
      <c r="F525" t="s">
        <v>666</v>
      </c>
    </row>
    <row r="526" spans="1:6" ht="15.5" x14ac:dyDescent="0.35">
      <c r="A526" s="3" t="s">
        <v>69</v>
      </c>
      <c r="B526" s="3">
        <v>7.21</v>
      </c>
      <c r="C526" s="2">
        <v>85.66</v>
      </c>
      <c r="D526" s="2">
        <v>69.27</v>
      </c>
      <c r="E526" t="s">
        <v>69</v>
      </c>
      <c r="F526" t="s">
        <v>666</v>
      </c>
    </row>
    <row r="527" spans="1:6" ht="15.5" x14ac:dyDescent="0.35">
      <c r="A527" s="3" t="s">
        <v>70</v>
      </c>
      <c r="B527" s="3">
        <v>1.1000000000000001</v>
      </c>
      <c r="C527" s="2">
        <v>85.1</v>
      </c>
      <c r="D527" s="2">
        <v>80.739999999999995</v>
      </c>
      <c r="E527" t="s">
        <v>70</v>
      </c>
      <c r="F527" t="s">
        <v>666</v>
      </c>
    </row>
    <row r="528" spans="1:6" ht="15.5" x14ac:dyDescent="0.35">
      <c r="A528" s="3" t="s">
        <v>409</v>
      </c>
      <c r="B528" s="3">
        <v>3.69</v>
      </c>
      <c r="C528" s="2">
        <v>84.59</v>
      </c>
      <c r="D528" s="2">
        <v>56.47</v>
      </c>
      <c r="E528" t="s">
        <v>409</v>
      </c>
      <c r="F528" t="s">
        <v>669</v>
      </c>
    </row>
    <row r="529" spans="1:6" ht="15.5" x14ac:dyDescent="0.35">
      <c r="A529" s="3" t="s">
        <v>218</v>
      </c>
      <c r="B529" s="3">
        <v>3.69</v>
      </c>
      <c r="C529" s="2">
        <v>83.08</v>
      </c>
      <c r="D529" s="2">
        <v>55.13</v>
      </c>
      <c r="E529" t="s">
        <v>218</v>
      </c>
      <c r="F529" t="s">
        <v>670</v>
      </c>
    </row>
    <row r="530" spans="1:6" ht="15.5" x14ac:dyDescent="0.35">
      <c r="A530" s="3" t="s">
        <v>140</v>
      </c>
      <c r="B530" s="3">
        <v>2.21</v>
      </c>
      <c r="C530" s="2">
        <v>87.8</v>
      </c>
      <c r="D530" s="2">
        <v>43.11</v>
      </c>
      <c r="E530" t="s">
        <v>140</v>
      </c>
      <c r="F530" t="s">
        <v>681</v>
      </c>
    </row>
    <row r="531" spans="1:6" ht="15.5" x14ac:dyDescent="0.35">
      <c r="A531" s="3" t="s">
        <v>268</v>
      </c>
      <c r="B531" s="3">
        <v>7.61</v>
      </c>
      <c r="C531" s="2">
        <v>83.37</v>
      </c>
      <c r="D531" s="2">
        <v>60.44</v>
      </c>
      <c r="E531" t="s">
        <v>268</v>
      </c>
      <c r="F531" t="s">
        <v>674</v>
      </c>
    </row>
    <row r="532" spans="1:6" ht="15.5" x14ac:dyDescent="0.35">
      <c r="A532" s="3" t="s">
        <v>549</v>
      </c>
      <c r="B532" s="3">
        <v>3.63</v>
      </c>
      <c r="C532" s="2">
        <v>83.31</v>
      </c>
      <c r="D532" s="2">
        <v>55.12</v>
      </c>
      <c r="E532" t="s">
        <v>549</v>
      </c>
      <c r="F532" t="s">
        <v>695</v>
      </c>
    </row>
    <row r="533" spans="1:6" ht="15.5" x14ac:dyDescent="0.35">
      <c r="A533" s="3" t="s">
        <v>548</v>
      </c>
      <c r="B533" s="3">
        <v>3.37</v>
      </c>
      <c r="C533" s="2">
        <v>74.760000000000005</v>
      </c>
      <c r="D533" s="2">
        <v>57.55</v>
      </c>
      <c r="E533" t="s">
        <v>548</v>
      </c>
      <c r="F533" t="s">
        <v>695</v>
      </c>
    </row>
    <row r="534" spans="1:6" ht="15.5" x14ac:dyDescent="0.35">
      <c r="A534" s="3" t="s">
        <v>263</v>
      </c>
      <c r="B534" s="3">
        <v>2.31</v>
      </c>
      <c r="C534" s="2">
        <v>86.36</v>
      </c>
      <c r="D534" s="2">
        <v>69.2</v>
      </c>
      <c r="E534" t="s">
        <v>263</v>
      </c>
      <c r="F534" t="s">
        <v>674</v>
      </c>
    </row>
    <row r="535" spans="1:6" ht="15.5" x14ac:dyDescent="0.35">
      <c r="A535" s="3" t="s">
        <v>355</v>
      </c>
      <c r="B535" s="3">
        <v>3.57</v>
      </c>
      <c r="C535" s="2">
        <v>85.19</v>
      </c>
      <c r="D535" s="2">
        <v>77.3</v>
      </c>
      <c r="E535" t="s">
        <v>355</v>
      </c>
      <c r="F535" t="s">
        <v>665</v>
      </c>
    </row>
    <row r="536" spans="1:6" ht="15.5" x14ac:dyDescent="0.35">
      <c r="A536" s="3" t="s">
        <v>356</v>
      </c>
      <c r="B536" s="3">
        <v>2.54</v>
      </c>
      <c r="C536" s="2">
        <v>78.89</v>
      </c>
      <c r="D536" s="2">
        <v>71.3</v>
      </c>
      <c r="E536" t="s">
        <v>356</v>
      </c>
      <c r="F536" t="s">
        <v>665</v>
      </c>
    </row>
    <row r="537" spans="1:6" ht="15.5" x14ac:dyDescent="0.35">
      <c r="A537" s="3" t="s">
        <v>71</v>
      </c>
      <c r="B537" s="3">
        <v>1</v>
      </c>
      <c r="C537" s="2">
        <v>84.2</v>
      </c>
      <c r="D537" s="2">
        <v>72.5</v>
      </c>
      <c r="E537" t="s">
        <v>723</v>
      </c>
      <c r="F537" t="s">
        <v>666</v>
      </c>
    </row>
    <row r="538" spans="1:6" ht="15.5" x14ac:dyDescent="0.35">
      <c r="A538" s="3" t="s">
        <v>460</v>
      </c>
      <c r="B538" s="3">
        <v>2.73</v>
      </c>
      <c r="C538" s="2">
        <v>86.97</v>
      </c>
      <c r="D538" s="2">
        <v>62.19</v>
      </c>
      <c r="E538" t="s">
        <v>724</v>
      </c>
      <c r="F538" t="s">
        <v>671</v>
      </c>
    </row>
    <row r="539" spans="1:6" ht="15.5" x14ac:dyDescent="0.35">
      <c r="A539" s="3" t="s">
        <v>575</v>
      </c>
      <c r="B539" s="3">
        <v>0.98</v>
      </c>
      <c r="C539" s="2">
        <v>94.68</v>
      </c>
      <c r="D539" s="2">
        <v>93.26</v>
      </c>
      <c r="E539" t="s">
        <v>725</v>
      </c>
      <c r="F539" t="s">
        <v>671</v>
      </c>
    </row>
    <row r="540" spans="1:6" ht="15.5" x14ac:dyDescent="0.35">
      <c r="A540" s="3" t="s">
        <v>457</v>
      </c>
      <c r="B540" s="3">
        <v>3.09</v>
      </c>
      <c r="C540" s="2">
        <v>85.67</v>
      </c>
      <c r="D540" s="2">
        <v>51.65</v>
      </c>
      <c r="E540" t="s">
        <v>575</v>
      </c>
      <c r="F540" t="s">
        <v>698</v>
      </c>
    </row>
    <row r="541" spans="1:6" ht="15.5" x14ac:dyDescent="0.35">
      <c r="A541" s="3" t="s">
        <v>486</v>
      </c>
      <c r="B541" s="3">
        <v>2.0099999999999998</v>
      </c>
      <c r="C541" s="2">
        <v>81.59</v>
      </c>
      <c r="D541" s="2">
        <v>69.03</v>
      </c>
      <c r="E541" t="s">
        <v>486</v>
      </c>
      <c r="F541" t="s">
        <v>675</v>
      </c>
    </row>
    <row r="542" spans="1:6" ht="15.5" x14ac:dyDescent="0.35">
      <c r="A542" s="3" t="s">
        <v>285</v>
      </c>
      <c r="B542" s="3">
        <v>3.86</v>
      </c>
      <c r="C542" s="2">
        <v>86.61</v>
      </c>
      <c r="D542" s="2">
        <v>68.78</v>
      </c>
      <c r="E542" t="s">
        <v>285</v>
      </c>
      <c r="F542" t="s">
        <v>673</v>
      </c>
    </row>
    <row r="543" spans="1:6" ht="15.5" x14ac:dyDescent="0.35">
      <c r="A543" s="3" t="s">
        <v>305</v>
      </c>
      <c r="B543" s="3">
        <v>3.44</v>
      </c>
      <c r="C543" s="2">
        <v>87.22</v>
      </c>
      <c r="D543" s="2">
        <v>58.73</v>
      </c>
      <c r="E543" t="s">
        <v>305</v>
      </c>
      <c r="F543" t="s">
        <v>673</v>
      </c>
    </row>
    <row r="544" spans="1:6" ht="15.5" x14ac:dyDescent="0.35">
      <c r="A544" s="3" t="s">
        <v>185</v>
      </c>
      <c r="B544" s="3">
        <v>3.71</v>
      </c>
      <c r="C544" s="2">
        <v>89.66</v>
      </c>
      <c r="D544" s="2">
        <v>53.68</v>
      </c>
      <c r="E544" t="s">
        <v>726</v>
      </c>
      <c r="F544" t="s">
        <v>706</v>
      </c>
    </row>
    <row r="545" spans="1:6" ht="15.5" x14ac:dyDescent="0.35">
      <c r="A545" s="3" t="s">
        <v>181</v>
      </c>
      <c r="B545" s="3">
        <v>3.19</v>
      </c>
      <c r="C545" s="2">
        <v>88.58</v>
      </c>
      <c r="D545" s="2">
        <v>48.35</v>
      </c>
      <c r="E545" t="s">
        <v>185</v>
      </c>
      <c r="F545" t="s">
        <v>706</v>
      </c>
    </row>
    <row r="546" spans="1:6" ht="15.5" x14ac:dyDescent="0.35">
      <c r="A546" s="3" t="s">
        <v>286</v>
      </c>
      <c r="B546" s="3">
        <v>4.03</v>
      </c>
      <c r="C546" s="2">
        <v>86.54</v>
      </c>
      <c r="D546" s="2">
        <v>63.02</v>
      </c>
      <c r="E546" t="s">
        <v>286</v>
      </c>
      <c r="F546" t="s">
        <v>673</v>
      </c>
    </row>
    <row r="547" spans="1:6" ht="15.5" x14ac:dyDescent="0.35">
      <c r="A547" s="3" t="s">
        <v>478</v>
      </c>
      <c r="B547" s="3">
        <v>3.47</v>
      </c>
      <c r="C547" s="2">
        <v>82.58</v>
      </c>
      <c r="D547" s="2">
        <v>53.05</v>
      </c>
      <c r="E547" t="s">
        <v>478</v>
      </c>
      <c r="F547" t="s">
        <v>675</v>
      </c>
    </row>
    <row r="548" spans="1:6" ht="15.5" x14ac:dyDescent="0.35">
      <c r="A548" s="3" t="s">
        <v>497</v>
      </c>
      <c r="B548" s="3">
        <v>3.82</v>
      </c>
      <c r="C548" s="2" t="s">
        <v>597</v>
      </c>
      <c r="D548" s="2">
        <v>65.52</v>
      </c>
      <c r="E548" t="s">
        <v>497</v>
      </c>
      <c r="F548" t="s">
        <v>690</v>
      </c>
    </row>
    <row r="549" spans="1:6" ht="15.5" x14ac:dyDescent="0.35">
      <c r="A549" s="3" t="s">
        <v>578</v>
      </c>
      <c r="B549" s="3">
        <v>5.98</v>
      </c>
      <c r="C549" s="2">
        <v>76.36</v>
      </c>
      <c r="D549" s="2">
        <v>52.94</v>
      </c>
      <c r="E549" t="s">
        <v>578</v>
      </c>
      <c r="F549" t="s">
        <v>686</v>
      </c>
    </row>
    <row r="550" spans="1:6" ht="15.5" x14ac:dyDescent="0.35">
      <c r="A550" s="3" t="s">
        <v>180</v>
      </c>
      <c r="B550" s="3">
        <v>3.51</v>
      </c>
      <c r="C550" s="2">
        <v>89.69</v>
      </c>
      <c r="D550" s="2">
        <v>54.21</v>
      </c>
      <c r="E550" t="s">
        <v>180</v>
      </c>
      <c r="F550" t="s">
        <v>706</v>
      </c>
    </row>
    <row r="551" spans="1:6" ht="15.5" x14ac:dyDescent="0.35">
      <c r="A551" s="3" t="s">
        <v>252</v>
      </c>
      <c r="B551" s="3">
        <v>2.16</v>
      </c>
      <c r="C551" s="2">
        <v>88.03</v>
      </c>
      <c r="D551" s="2">
        <v>69.430000000000007</v>
      </c>
      <c r="E551" t="s">
        <v>252</v>
      </c>
      <c r="F551" t="s">
        <v>674</v>
      </c>
    </row>
    <row r="552" spans="1:6" ht="15.5" x14ac:dyDescent="0.35">
      <c r="A552" s="3" t="s">
        <v>247</v>
      </c>
      <c r="B552" s="3">
        <v>3.99</v>
      </c>
      <c r="C552" s="2">
        <v>87.84</v>
      </c>
      <c r="D552" s="2">
        <v>63.25</v>
      </c>
      <c r="E552" t="s">
        <v>247</v>
      </c>
      <c r="F552" t="s">
        <v>674</v>
      </c>
    </row>
    <row r="553" spans="1:6" ht="15.5" x14ac:dyDescent="0.35">
      <c r="A553" s="3" t="s">
        <v>573</v>
      </c>
      <c r="B553" s="3">
        <v>1.78</v>
      </c>
      <c r="C553" s="2">
        <v>96.01</v>
      </c>
      <c r="D553" s="2">
        <v>91.82</v>
      </c>
      <c r="E553" t="s">
        <v>573</v>
      </c>
      <c r="F553" t="s">
        <v>698</v>
      </c>
    </row>
    <row r="554" spans="1:6" ht="15.5" x14ac:dyDescent="0.35">
      <c r="A554" s="3" t="s">
        <v>584</v>
      </c>
      <c r="B554" s="3">
        <v>0.68</v>
      </c>
      <c r="C554" s="2">
        <v>91.13</v>
      </c>
      <c r="D554" s="2">
        <v>90.72</v>
      </c>
      <c r="E554" t="s">
        <v>584</v>
      </c>
      <c r="F554" t="s">
        <v>698</v>
      </c>
    </row>
  </sheetData>
  <sortState xmlns:xlrd2="http://schemas.microsoft.com/office/spreadsheetml/2017/richdata2" ref="B191:F541">
    <sortCondition ref="B191:B541"/>
  </sortState>
  <conditionalFormatting sqref="A506:A553">
    <cfRule type="duplicateValues" dxfId="0" priority="5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FEDD0-7D48-43B2-859A-47FDE35B85CF}">
  <dimension ref="A1:M40"/>
  <sheetViews>
    <sheetView topLeftCell="A24" workbookViewId="0">
      <selection activeCell="M32" sqref="M32:M39"/>
    </sheetView>
  </sheetViews>
  <sheetFormatPr defaultRowHeight="14.5" x14ac:dyDescent="0.35"/>
  <cols>
    <col min="1" max="1" width="19" customWidth="1"/>
    <col min="4" max="4" width="10.6328125" bestFit="1" customWidth="1"/>
    <col min="11" max="11" width="18.6328125" customWidth="1"/>
  </cols>
  <sheetData>
    <row r="1" spans="1:13" x14ac:dyDescent="0.35">
      <c r="A1" t="s">
        <v>612</v>
      </c>
      <c r="B1" t="s">
        <v>613</v>
      </c>
      <c r="C1" t="s">
        <v>614</v>
      </c>
      <c r="D1" t="s">
        <v>615</v>
      </c>
      <c r="E1" t="s">
        <v>616</v>
      </c>
      <c r="F1" t="s">
        <v>617</v>
      </c>
      <c r="G1" t="s">
        <v>658</v>
      </c>
      <c r="H1" t="s">
        <v>655</v>
      </c>
      <c r="I1" t="s">
        <v>656</v>
      </c>
      <c r="J1" t="s">
        <v>657</v>
      </c>
      <c r="K1" t="s">
        <v>659</v>
      </c>
      <c r="L1" t="s">
        <v>660</v>
      </c>
      <c r="M1" t="s">
        <v>729</v>
      </c>
    </row>
    <row r="2" spans="1:13" ht="15.5" x14ac:dyDescent="0.35">
      <c r="A2" s="3" t="s">
        <v>41</v>
      </c>
      <c r="B2" s="3">
        <v>5.88</v>
      </c>
      <c r="C2" s="3">
        <v>63.44</v>
      </c>
      <c r="D2" s="4">
        <v>45770</v>
      </c>
      <c r="E2" s="3">
        <v>76.23</v>
      </c>
      <c r="F2" s="3">
        <v>0.27500000000000002</v>
      </c>
      <c r="G2" s="5" t="s">
        <v>618</v>
      </c>
      <c r="H2" s="3">
        <v>12.34</v>
      </c>
      <c r="I2" s="3">
        <v>9.9499999999999993</v>
      </c>
      <c r="J2" s="3">
        <v>70.44</v>
      </c>
      <c r="K2" s="3">
        <v>98.92</v>
      </c>
      <c r="L2" s="3">
        <v>1.34</v>
      </c>
      <c r="M2" t="s">
        <v>730</v>
      </c>
    </row>
    <row r="3" spans="1:13" ht="15.5" x14ac:dyDescent="0.35">
      <c r="A3" s="3" t="s">
        <v>65</v>
      </c>
      <c r="B3" s="3">
        <v>5.01</v>
      </c>
      <c r="C3" s="3">
        <v>69.28</v>
      </c>
      <c r="D3" s="4">
        <v>78310</v>
      </c>
      <c r="E3" s="3">
        <v>76.47</v>
      </c>
      <c r="F3" s="3">
        <v>0.27800000000000002</v>
      </c>
      <c r="G3" s="5" t="s">
        <v>619</v>
      </c>
      <c r="H3" s="3">
        <v>7.1</v>
      </c>
      <c r="I3" s="3">
        <v>10.08</v>
      </c>
      <c r="J3" s="3">
        <v>70.28</v>
      </c>
      <c r="K3" s="3">
        <v>99.01</v>
      </c>
      <c r="L3" s="3">
        <v>1.34</v>
      </c>
      <c r="M3" t="s">
        <v>730</v>
      </c>
    </row>
    <row r="4" spans="1:13" ht="15.5" x14ac:dyDescent="0.35">
      <c r="A4" s="3" t="s">
        <v>99</v>
      </c>
      <c r="B4" s="3">
        <v>5.51</v>
      </c>
      <c r="C4" s="3">
        <v>71.760000000000005</v>
      </c>
      <c r="D4" s="4">
        <v>59549</v>
      </c>
      <c r="E4" s="3">
        <v>77.27</v>
      </c>
      <c r="F4" s="3">
        <v>0.28499999999999998</v>
      </c>
      <c r="G4" s="5" t="s">
        <v>620</v>
      </c>
      <c r="H4" s="3">
        <v>5.27</v>
      </c>
      <c r="I4" s="3">
        <v>9.77</v>
      </c>
      <c r="J4" s="3">
        <v>70.33</v>
      </c>
      <c r="K4" s="3">
        <v>99.08</v>
      </c>
      <c r="L4" s="3">
        <v>1.39</v>
      </c>
      <c r="M4" t="s">
        <v>730</v>
      </c>
    </row>
    <row r="5" spans="1:13" ht="15.5" x14ac:dyDescent="0.35">
      <c r="A5" s="3" t="s">
        <v>119</v>
      </c>
      <c r="B5" s="3">
        <v>4.09</v>
      </c>
      <c r="C5" s="3">
        <v>66.17</v>
      </c>
      <c r="D5" s="4">
        <v>176385</v>
      </c>
      <c r="E5" s="3">
        <v>76.31</v>
      </c>
      <c r="F5" s="3">
        <v>0.30099999999999999</v>
      </c>
      <c r="G5" s="5" t="s">
        <v>621</v>
      </c>
      <c r="H5" s="3">
        <v>6.19</v>
      </c>
      <c r="I5" s="3">
        <v>9.5500000000000007</v>
      </c>
      <c r="J5" s="3">
        <v>72.52</v>
      </c>
      <c r="K5" s="3">
        <v>99</v>
      </c>
      <c r="L5" s="3">
        <v>1.31</v>
      </c>
      <c r="M5" t="s">
        <v>730</v>
      </c>
    </row>
    <row r="6" spans="1:13" ht="15.5" x14ac:dyDescent="0.35">
      <c r="A6" s="3" t="s">
        <v>132</v>
      </c>
      <c r="B6" s="3">
        <v>3.99</v>
      </c>
      <c r="C6" s="3">
        <v>65.69</v>
      </c>
      <c r="D6" s="4">
        <v>92786</v>
      </c>
      <c r="E6" s="3">
        <v>75.13</v>
      </c>
      <c r="F6" s="3">
        <v>0.30499999999999999</v>
      </c>
      <c r="G6" s="5" t="s">
        <v>622</v>
      </c>
      <c r="H6" s="3">
        <v>6.67</v>
      </c>
      <c r="I6" s="3">
        <v>8.9499999999999993</v>
      </c>
      <c r="J6" s="3">
        <v>72.040000000000006</v>
      </c>
      <c r="K6" s="3">
        <v>97.59</v>
      </c>
      <c r="L6" s="3">
        <v>1.25</v>
      </c>
      <c r="M6" t="s">
        <v>730</v>
      </c>
    </row>
    <row r="7" spans="1:13" ht="15.5" x14ac:dyDescent="0.35">
      <c r="A7" s="3" t="s">
        <v>144</v>
      </c>
      <c r="B7" s="3">
        <v>3.59</v>
      </c>
      <c r="C7" s="3">
        <v>70.89</v>
      </c>
      <c r="D7" s="4">
        <v>80663</v>
      </c>
      <c r="E7" s="3">
        <v>74.760000000000005</v>
      </c>
      <c r="F7" s="3">
        <v>0.28499999999999998</v>
      </c>
      <c r="G7" s="5" t="s">
        <v>623</v>
      </c>
      <c r="H7" s="3">
        <v>9.5</v>
      </c>
      <c r="I7" s="3">
        <v>8.91</v>
      </c>
      <c r="J7" s="3">
        <v>70.930000000000007</v>
      </c>
      <c r="K7" s="3">
        <v>98.89</v>
      </c>
      <c r="L7" s="3">
        <v>1.1000000000000001</v>
      </c>
      <c r="M7" t="s">
        <v>730</v>
      </c>
    </row>
    <row r="8" spans="1:13" ht="15.5" x14ac:dyDescent="0.35">
      <c r="A8" s="3" t="s">
        <v>162</v>
      </c>
      <c r="B8" s="3">
        <v>3.23</v>
      </c>
      <c r="C8" s="3">
        <v>70.17</v>
      </c>
      <c r="D8" s="4">
        <v>52305</v>
      </c>
      <c r="E8" s="3">
        <v>75.680000000000007</v>
      </c>
      <c r="F8" s="3">
        <v>0.34</v>
      </c>
      <c r="G8" s="5" t="s">
        <v>624</v>
      </c>
      <c r="H8" s="3">
        <v>11.83</v>
      </c>
      <c r="I8" s="3">
        <v>9.23</v>
      </c>
      <c r="J8" s="3">
        <v>70.13</v>
      </c>
      <c r="K8" s="3">
        <v>97.8</v>
      </c>
      <c r="L8" s="3">
        <v>1.28</v>
      </c>
      <c r="M8" t="s">
        <v>730</v>
      </c>
    </row>
    <row r="9" spans="1:13" ht="15.5" x14ac:dyDescent="0.35">
      <c r="A9" s="3" t="s">
        <v>173</v>
      </c>
      <c r="B9" s="3">
        <v>3.95</v>
      </c>
      <c r="C9" s="3">
        <v>70.650000000000006</v>
      </c>
      <c r="D9" s="4">
        <v>55009</v>
      </c>
      <c r="E9" s="3">
        <v>73.98</v>
      </c>
      <c r="F9" s="3">
        <v>0.28999999999999998</v>
      </c>
      <c r="G9" s="5" t="s">
        <v>625</v>
      </c>
      <c r="H9" s="3">
        <v>9.31</v>
      </c>
      <c r="I9" s="3">
        <v>8.61</v>
      </c>
      <c r="J9" s="3">
        <v>71.5</v>
      </c>
      <c r="K9" s="3">
        <v>97.83</v>
      </c>
      <c r="L9" s="3">
        <v>1.1599999999999999</v>
      </c>
      <c r="M9" t="s">
        <v>730</v>
      </c>
    </row>
    <row r="10" spans="1:13" ht="15.5" x14ac:dyDescent="0.35">
      <c r="A10" s="3" t="s">
        <v>189</v>
      </c>
      <c r="B10" s="3">
        <v>4.1500000000000004</v>
      </c>
      <c r="C10" s="3">
        <v>68.34</v>
      </c>
      <c r="D10" s="4">
        <v>75323</v>
      </c>
      <c r="E10" s="3">
        <v>75.260000000000005</v>
      </c>
      <c r="F10" s="3">
        <v>0.214</v>
      </c>
      <c r="G10" s="5" t="s">
        <v>626</v>
      </c>
      <c r="H10" s="3">
        <v>4.75</v>
      </c>
      <c r="I10" s="3">
        <v>8.65</v>
      </c>
      <c r="J10" s="3">
        <v>71.489999999999995</v>
      </c>
      <c r="K10" s="3">
        <v>98.2</v>
      </c>
      <c r="L10" s="3">
        <v>1.32</v>
      </c>
      <c r="M10" t="s">
        <v>730</v>
      </c>
    </row>
    <row r="11" spans="1:13" ht="15.5" x14ac:dyDescent="0.35">
      <c r="A11" s="3" t="s">
        <v>610</v>
      </c>
      <c r="B11" s="3">
        <v>6.87</v>
      </c>
      <c r="C11" s="3">
        <v>66.77</v>
      </c>
      <c r="D11" s="4">
        <v>172459</v>
      </c>
      <c r="E11" s="3">
        <v>80.53</v>
      </c>
      <c r="F11" s="3">
        <v>0.35399999999999998</v>
      </c>
      <c r="G11" s="5" t="s">
        <v>627</v>
      </c>
      <c r="H11" s="3">
        <v>4.09</v>
      </c>
      <c r="I11" s="3">
        <v>10.72</v>
      </c>
      <c r="J11" s="3">
        <v>71.239999999999995</v>
      </c>
      <c r="K11" s="3">
        <v>99.46</v>
      </c>
      <c r="L11" s="3">
        <v>1.45</v>
      </c>
      <c r="M11" t="s">
        <v>730</v>
      </c>
    </row>
    <row r="12" spans="1:13" ht="15.5" x14ac:dyDescent="0.35">
      <c r="A12" s="3" t="s">
        <v>205</v>
      </c>
      <c r="B12" s="3">
        <v>6.03</v>
      </c>
      <c r="C12" s="3">
        <v>65.48</v>
      </c>
      <c r="D12" s="4">
        <v>367687</v>
      </c>
      <c r="E12" s="3">
        <v>85.05</v>
      </c>
      <c r="F12" s="3">
        <v>0.435</v>
      </c>
      <c r="G12" s="5" t="s">
        <v>628</v>
      </c>
      <c r="H12" s="3">
        <v>3.96</v>
      </c>
      <c r="I12" s="3">
        <v>11.59</v>
      </c>
      <c r="J12" s="3">
        <v>73.87</v>
      </c>
      <c r="K12" s="3">
        <v>99.71</v>
      </c>
      <c r="L12" s="3">
        <v>0.18</v>
      </c>
      <c r="M12" t="s">
        <v>731</v>
      </c>
    </row>
    <row r="13" spans="1:13" ht="15.5" x14ac:dyDescent="0.35">
      <c r="A13" s="3" t="s">
        <v>212</v>
      </c>
      <c r="B13" s="3">
        <v>6.64</v>
      </c>
      <c r="C13" s="3">
        <v>68.13</v>
      </c>
      <c r="D13" s="4">
        <v>59865</v>
      </c>
      <c r="E13" s="3">
        <v>75.900000000000006</v>
      </c>
      <c r="F13" s="3">
        <v>0.41299999999999998</v>
      </c>
      <c r="G13" s="5" t="s">
        <v>629</v>
      </c>
      <c r="H13" s="3">
        <v>6.54</v>
      </c>
      <c r="I13" s="3">
        <v>9.14</v>
      </c>
      <c r="J13" s="3">
        <v>74.069999999999993</v>
      </c>
      <c r="K13" s="3">
        <v>98.9</v>
      </c>
      <c r="L13" s="3">
        <v>1.02</v>
      </c>
      <c r="M13" t="s">
        <v>731</v>
      </c>
    </row>
    <row r="14" spans="1:13" ht="15.5" x14ac:dyDescent="0.35">
      <c r="A14" s="3" t="s">
        <v>240</v>
      </c>
      <c r="B14" s="3">
        <v>4.24</v>
      </c>
      <c r="C14" s="3">
        <v>73.900000000000006</v>
      </c>
      <c r="D14" s="4">
        <v>50824</v>
      </c>
      <c r="E14" s="3">
        <v>74.77</v>
      </c>
      <c r="F14" s="3">
        <v>0.35399999999999998</v>
      </c>
      <c r="G14" s="5" t="s">
        <v>630</v>
      </c>
      <c r="H14" s="3">
        <v>9.2100000000000009</v>
      </c>
      <c r="I14" s="3">
        <v>8.15</v>
      </c>
      <c r="J14" s="3">
        <v>74.930000000000007</v>
      </c>
      <c r="K14" s="3">
        <v>95.2</v>
      </c>
      <c r="L14" s="3">
        <v>0.95</v>
      </c>
      <c r="M14" t="s">
        <v>731</v>
      </c>
    </row>
    <row r="15" spans="1:13" ht="15.5" x14ac:dyDescent="0.35">
      <c r="A15" s="3" t="s">
        <v>611</v>
      </c>
      <c r="B15" s="3">
        <v>3.05</v>
      </c>
      <c r="C15" s="3">
        <v>74.52</v>
      </c>
      <c r="D15" s="4">
        <v>55039</v>
      </c>
      <c r="E15" s="3">
        <v>82.48</v>
      </c>
      <c r="F15" s="3">
        <v>0.41099999999999998</v>
      </c>
      <c r="G15" s="5" t="s">
        <v>631</v>
      </c>
      <c r="H15" s="3">
        <v>9.6999999999999993</v>
      </c>
      <c r="I15" s="3">
        <v>10.199999999999999</v>
      </c>
      <c r="J15" s="3">
        <v>75.22</v>
      </c>
      <c r="K15" s="3">
        <v>95.93</v>
      </c>
      <c r="L15" s="3">
        <v>0.63</v>
      </c>
      <c r="M15" t="s">
        <v>731</v>
      </c>
    </row>
    <row r="16" spans="1:13" ht="15.5" x14ac:dyDescent="0.35">
      <c r="A16" s="3" t="s">
        <v>282</v>
      </c>
      <c r="B16" s="3">
        <v>3.55</v>
      </c>
      <c r="C16" s="3">
        <v>74.78</v>
      </c>
      <c r="D16" s="4">
        <v>80856</v>
      </c>
      <c r="E16" s="3">
        <v>76.13</v>
      </c>
      <c r="F16" s="3">
        <v>0.36499999999999999</v>
      </c>
      <c r="G16" s="5" t="s">
        <v>632</v>
      </c>
      <c r="H16" s="3">
        <v>9.06</v>
      </c>
      <c r="I16" s="3">
        <v>8.39</v>
      </c>
      <c r="J16" s="3">
        <v>72.349999999999994</v>
      </c>
      <c r="K16" s="3">
        <v>94.85</v>
      </c>
      <c r="L16" s="3">
        <v>0.71</v>
      </c>
      <c r="M16" t="s">
        <v>731</v>
      </c>
    </row>
    <row r="17" spans="1:13" ht="15.5" x14ac:dyDescent="0.35">
      <c r="A17" s="3" t="s">
        <v>321</v>
      </c>
      <c r="B17" s="3">
        <v>6.59</v>
      </c>
      <c r="C17" s="3">
        <v>65.010000000000005</v>
      </c>
      <c r="D17" s="4">
        <v>74673</v>
      </c>
      <c r="E17" s="3">
        <v>77.25</v>
      </c>
      <c r="F17" s="3">
        <v>0.312</v>
      </c>
      <c r="G17" s="5" t="s">
        <v>633</v>
      </c>
      <c r="H17" s="3">
        <v>5.38</v>
      </c>
      <c r="I17" s="3">
        <v>9.56</v>
      </c>
      <c r="J17" s="3">
        <v>71.02</v>
      </c>
      <c r="K17" s="3">
        <v>99</v>
      </c>
      <c r="L17" s="3">
        <v>1.05</v>
      </c>
      <c r="M17" t="s">
        <v>731</v>
      </c>
    </row>
    <row r="18" spans="1:13" ht="15.5" x14ac:dyDescent="0.35">
      <c r="A18" s="3" t="s">
        <v>330</v>
      </c>
      <c r="B18" s="3">
        <v>1.59</v>
      </c>
      <c r="C18" s="3">
        <v>74.63</v>
      </c>
      <c r="D18" s="4">
        <v>72658</v>
      </c>
      <c r="E18" s="3">
        <v>79.37</v>
      </c>
      <c r="F18" s="3">
        <v>0.34200000000000003</v>
      </c>
      <c r="G18" s="5" t="s">
        <v>634</v>
      </c>
      <c r="H18" s="3">
        <v>3.44</v>
      </c>
      <c r="I18" s="3">
        <v>9.75</v>
      </c>
      <c r="J18" s="3">
        <v>73.290000000000006</v>
      </c>
      <c r="K18" s="3">
        <v>96.42</v>
      </c>
      <c r="L18" s="3">
        <v>0.68</v>
      </c>
      <c r="M18" t="s">
        <v>734</v>
      </c>
    </row>
    <row r="19" spans="1:13" ht="15.5" x14ac:dyDescent="0.35">
      <c r="A19" s="3" t="s">
        <v>340</v>
      </c>
      <c r="B19" s="3">
        <v>2.99</v>
      </c>
      <c r="C19" s="3">
        <v>76.180000000000007</v>
      </c>
      <c r="D19" s="4">
        <v>33667</v>
      </c>
      <c r="E19" s="3">
        <v>73.97</v>
      </c>
      <c r="F19" s="3">
        <v>0.35799999999999998</v>
      </c>
      <c r="G19" s="5" t="s">
        <v>635</v>
      </c>
      <c r="H19" s="3">
        <v>11.17</v>
      </c>
      <c r="I19" s="3">
        <v>8.2100000000000009</v>
      </c>
      <c r="J19" s="3">
        <v>67.73</v>
      </c>
      <c r="K19" s="3">
        <v>91.07</v>
      </c>
      <c r="L19" s="3">
        <v>1.56</v>
      </c>
      <c r="M19" t="s">
        <v>734</v>
      </c>
    </row>
    <row r="20" spans="1:13" ht="15.5" x14ac:dyDescent="0.35">
      <c r="A20" s="3" t="s">
        <v>351</v>
      </c>
      <c r="B20" s="3">
        <v>3.16</v>
      </c>
      <c r="C20" s="3">
        <v>76.94</v>
      </c>
      <c r="D20" s="4">
        <v>25837</v>
      </c>
      <c r="E20" s="3">
        <v>69.89</v>
      </c>
      <c r="F20" s="3">
        <v>0.31900000000000001</v>
      </c>
      <c r="G20" s="5" t="s">
        <v>636</v>
      </c>
      <c r="H20" s="3">
        <v>17.52</v>
      </c>
      <c r="I20" s="3">
        <v>8.2200000000000006</v>
      </c>
      <c r="J20" s="3">
        <v>67.989999999999995</v>
      </c>
      <c r="K20" s="3">
        <v>95.92</v>
      </c>
      <c r="L20" s="3">
        <v>1.58</v>
      </c>
      <c r="M20" t="s">
        <v>734</v>
      </c>
    </row>
    <row r="21" spans="1:13" ht="15.5" x14ac:dyDescent="0.35">
      <c r="A21" s="3" t="s">
        <v>374</v>
      </c>
      <c r="B21" s="3">
        <v>4.57</v>
      </c>
      <c r="C21" s="3">
        <v>69.650000000000006</v>
      </c>
      <c r="D21" s="4">
        <v>56984</v>
      </c>
      <c r="E21" s="3">
        <v>72.09</v>
      </c>
      <c r="F21" s="3">
        <v>0.311</v>
      </c>
      <c r="G21" s="5" t="s">
        <v>637</v>
      </c>
      <c r="H21" s="3">
        <v>5.78</v>
      </c>
      <c r="I21" s="3">
        <v>8.07</v>
      </c>
      <c r="J21" s="3">
        <v>71.55</v>
      </c>
      <c r="K21" s="3">
        <v>96.09</v>
      </c>
      <c r="L21" s="3">
        <v>1.31</v>
      </c>
      <c r="M21" t="s">
        <v>732</v>
      </c>
    </row>
    <row r="22" spans="1:13" ht="15.5" x14ac:dyDescent="0.35">
      <c r="A22" s="3" t="s">
        <v>389</v>
      </c>
      <c r="B22" s="3">
        <v>3.44</v>
      </c>
      <c r="C22" s="3">
        <v>69.2</v>
      </c>
      <c r="D22" s="4">
        <v>84730</v>
      </c>
      <c r="E22" s="3">
        <v>74.86</v>
      </c>
      <c r="F22" s="3">
        <v>0.27800000000000002</v>
      </c>
      <c r="G22" s="5" t="s">
        <v>638</v>
      </c>
      <c r="H22" s="3">
        <v>5.09</v>
      </c>
      <c r="I22" s="3">
        <v>8.9600000000000009</v>
      </c>
      <c r="J22" s="3">
        <v>70.430000000000007</v>
      </c>
      <c r="K22" s="3">
        <v>99.18</v>
      </c>
      <c r="L22" s="3">
        <v>1.32</v>
      </c>
      <c r="M22" t="s">
        <v>732</v>
      </c>
    </row>
    <row r="23" spans="1:13" ht="15.5" x14ac:dyDescent="0.35">
      <c r="A23" s="3" t="s">
        <v>404</v>
      </c>
      <c r="B23" s="3">
        <v>3.8</v>
      </c>
      <c r="C23" s="3">
        <v>69.069999999999993</v>
      </c>
      <c r="D23" s="4">
        <v>70577</v>
      </c>
      <c r="E23" s="3">
        <v>76.099999999999994</v>
      </c>
      <c r="F23" s="3">
        <v>0.30099999999999999</v>
      </c>
      <c r="G23" s="5" t="s">
        <v>639</v>
      </c>
      <c r="H23" s="3">
        <v>3.63</v>
      </c>
      <c r="I23" s="3">
        <v>8.81</v>
      </c>
      <c r="J23" s="3">
        <v>69.650000000000006</v>
      </c>
      <c r="K23" s="3">
        <v>97.82</v>
      </c>
      <c r="L23" s="3">
        <v>1.24</v>
      </c>
      <c r="M23" t="s">
        <v>732</v>
      </c>
    </row>
    <row r="24" spans="1:13" ht="15.5" x14ac:dyDescent="0.35">
      <c r="A24" s="3" t="s">
        <v>418</v>
      </c>
      <c r="B24" s="3">
        <v>5.27</v>
      </c>
      <c r="C24" s="3">
        <v>66.25</v>
      </c>
      <c r="D24" s="4">
        <v>208331</v>
      </c>
      <c r="E24" s="3">
        <v>79.39</v>
      </c>
      <c r="F24" s="3">
        <v>0.312</v>
      </c>
      <c r="G24" s="5" t="s">
        <v>640</v>
      </c>
      <c r="H24" s="3">
        <v>5.14</v>
      </c>
      <c r="I24" s="3">
        <v>10.1</v>
      </c>
      <c r="J24" s="3">
        <v>75.03</v>
      </c>
      <c r="K24" s="3">
        <v>98.96</v>
      </c>
      <c r="L24" s="3">
        <v>3.06</v>
      </c>
      <c r="M24" t="s">
        <v>732</v>
      </c>
    </row>
    <row r="25" spans="1:13" ht="15.5" x14ac:dyDescent="0.35">
      <c r="A25" s="3" t="s">
        <v>429</v>
      </c>
      <c r="B25" s="3">
        <v>3.9</v>
      </c>
      <c r="C25" s="3">
        <v>68.63</v>
      </c>
      <c r="D25" s="4">
        <v>208210</v>
      </c>
      <c r="E25" s="3">
        <v>74.040000000000006</v>
      </c>
      <c r="F25" s="3">
        <v>0.253</v>
      </c>
      <c r="G25" s="5" t="s">
        <v>641</v>
      </c>
      <c r="H25" s="3">
        <v>5.18</v>
      </c>
      <c r="I25" s="3">
        <v>9.44</v>
      </c>
      <c r="J25" s="3">
        <v>72.73</v>
      </c>
      <c r="K25" s="3">
        <v>98.14</v>
      </c>
      <c r="L25" s="3">
        <v>1.37</v>
      </c>
      <c r="M25" t="s">
        <v>732</v>
      </c>
    </row>
    <row r="26" spans="1:13" ht="15.5" x14ac:dyDescent="0.35">
      <c r="A26" s="3" t="s">
        <v>435</v>
      </c>
      <c r="B26" s="3">
        <v>5.75</v>
      </c>
      <c r="C26" s="3">
        <v>63.03</v>
      </c>
      <c r="D26" s="4">
        <v>75235</v>
      </c>
      <c r="E26" s="3">
        <v>76.319999999999993</v>
      </c>
      <c r="F26" s="3">
        <v>0.34399999999999997</v>
      </c>
      <c r="G26" s="5" t="s">
        <v>642</v>
      </c>
      <c r="H26" s="3">
        <v>6.32</v>
      </c>
      <c r="I26" s="3">
        <v>9.91</v>
      </c>
      <c r="J26" s="3">
        <v>72.69</v>
      </c>
      <c r="K26" s="3">
        <v>99.8</v>
      </c>
      <c r="L26" s="3">
        <v>0.77</v>
      </c>
      <c r="M26" t="s">
        <v>733</v>
      </c>
    </row>
    <row r="27" spans="1:13" ht="15.5" x14ac:dyDescent="0.35">
      <c r="A27" s="3" t="s">
        <v>451</v>
      </c>
      <c r="B27" s="3">
        <v>2.95</v>
      </c>
      <c r="C27" s="3">
        <v>70.64</v>
      </c>
      <c r="D27" s="4">
        <v>131643</v>
      </c>
      <c r="E27" s="3">
        <v>72.819999999999993</v>
      </c>
      <c r="F27" s="3">
        <v>0.27700000000000002</v>
      </c>
      <c r="G27" s="5" t="s">
        <v>643</v>
      </c>
      <c r="H27" s="3">
        <v>10.46</v>
      </c>
      <c r="I27" s="3">
        <v>9.1</v>
      </c>
      <c r="J27" s="3">
        <v>69.42</v>
      </c>
      <c r="K27" s="3">
        <v>98.39</v>
      </c>
      <c r="L27" s="3">
        <v>1.1599999999999999</v>
      </c>
      <c r="M27" t="s">
        <v>733</v>
      </c>
    </row>
    <row r="28" spans="1:13" ht="15.5" x14ac:dyDescent="0.35">
      <c r="A28" s="3" t="s">
        <v>465</v>
      </c>
      <c r="B28" s="3">
        <v>4.95</v>
      </c>
      <c r="C28" s="3">
        <v>67.59</v>
      </c>
      <c r="D28" s="4">
        <v>78748</v>
      </c>
      <c r="E28" s="3">
        <v>75.92</v>
      </c>
      <c r="F28" s="3">
        <v>0.35499999999999998</v>
      </c>
      <c r="G28" s="5" t="s">
        <v>644</v>
      </c>
      <c r="H28" s="3">
        <v>7.24</v>
      </c>
      <c r="I28" s="3">
        <v>9</v>
      </c>
      <c r="J28" s="3">
        <v>71.430000000000007</v>
      </c>
      <c r="K28" s="3">
        <v>95.05</v>
      </c>
      <c r="L28" s="3">
        <v>1.1000000000000001</v>
      </c>
      <c r="M28" t="s">
        <v>733</v>
      </c>
    </row>
    <row r="29" spans="1:13" ht="15.5" x14ac:dyDescent="0.35">
      <c r="A29" s="3" t="s">
        <v>490</v>
      </c>
      <c r="B29" s="3">
        <v>3.25</v>
      </c>
      <c r="C29" s="3">
        <v>69.790000000000006</v>
      </c>
      <c r="D29" s="4">
        <v>72031</v>
      </c>
      <c r="E29" s="3">
        <v>74.25</v>
      </c>
      <c r="F29" s="3">
        <v>0.35599999999999998</v>
      </c>
      <c r="G29" s="5" t="s">
        <v>645</v>
      </c>
      <c r="H29" s="3">
        <v>10.02</v>
      </c>
      <c r="I29" s="3">
        <v>9.56</v>
      </c>
      <c r="J29" s="3">
        <v>71.599999999999994</v>
      </c>
      <c r="K29" s="3">
        <v>97.22</v>
      </c>
      <c r="L29" s="3">
        <v>1.63</v>
      </c>
      <c r="M29" t="s">
        <v>733</v>
      </c>
    </row>
    <row r="30" spans="1:13" ht="15.5" x14ac:dyDescent="0.35">
      <c r="A30" s="3" t="s">
        <v>508</v>
      </c>
      <c r="B30" s="3">
        <v>3.17</v>
      </c>
      <c r="C30" s="3">
        <v>70.33</v>
      </c>
      <c r="D30" s="4">
        <v>47477</v>
      </c>
      <c r="E30" s="3">
        <v>72.62</v>
      </c>
      <c r="F30" s="3">
        <v>0.38400000000000001</v>
      </c>
      <c r="G30" s="5" t="s">
        <v>623</v>
      </c>
      <c r="H30" s="3">
        <v>12.16</v>
      </c>
      <c r="I30" s="3">
        <v>8.3800000000000008</v>
      </c>
      <c r="J30" s="3">
        <v>69.09</v>
      </c>
      <c r="K30" s="3">
        <v>98.54</v>
      </c>
      <c r="L30" s="3">
        <v>1.22</v>
      </c>
      <c r="M30" t="s">
        <v>733</v>
      </c>
    </row>
    <row r="31" spans="1:13" ht="15.5" x14ac:dyDescent="0.35">
      <c r="A31" s="3" t="s">
        <v>515</v>
      </c>
      <c r="B31" s="3">
        <v>2.93</v>
      </c>
      <c r="C31" s="3">
        <v>73.75</v>
      </c>
      <c r="D31" s="4">
        <v>46654</v>
      </c>
      <c r="E31" s="3">
        <v>71.16</v>
      </c>
      <c r="F31" s="3">
        <v>0.314</v>
      </c>
      <c r="G31" s="5" t="s">
        <v>646</v>
      </c>
      <c r="H31" s="3" t="s">
        <v>649</v>
      </c>
      <c r="I31" s="3">
        <v>8.31</v>
      </c>
      <c r="J31" s="3">
        <v>66.27</v>
      </c>
      <c r="K31" s="3">
        <v>95.62</v>
      </c>
      <c r="L31" s="3">
        <v>1.51</v>
      </c>
      <c r="M31" t="s">
        <v>733</v>
      </c>
    </row>
    <row r="32" spans="1:13" ht="15.5" x14ac:dyDescent="0.35">
      <c r="A32" s="3" t="s">
        <v>522</v>
      </c>
      <c r="B32" s="3">
        <v>5.8</v>
      </c>
      <c r="C32" s="3">
        <v>67.84</v>
      </c>
      <c r="D32" s="4">
        <v>33652</v>
      </c>
      <c r="E32" s="3">
        <v>74.09</v>
      </c>
      <c r="F32" s="3">
        <v>0.28100000000000003</v>
      </c>
      <c r="G32" s="5" t="s">
        <v>647</v>
      </c>
      <c r="H32" s="3">
        <v>14.91</v>
      </c>
      <c r="I32" s="3">
        <v>10.51</v>
      </c>
      <c r="J32" s="3">
        <v>66.989999999999995</v>
      </c>
      <c r="K32" s="3">
        <v>99.35</v>
      </c>
      <c r="L32" s="3">
        <v>1.33</v>
      </c>
      <c r="M32" t="s">
        <v>735</v>
      </c>
    </row>
    <row r="33" spans="1:13" ht="15.5" x14ac:dyDescent="0.35">
      <c r="A33" s="3" t="s">
        <v>534</v>
      </c>
      <c r="B33" s="3">
        <v>4.46</v>
      </c>
      <c r="C33" s="3">
        <v>68.28</v>
      </c>
      <c r="D33" s="4">
        <v>97262</v>
      </c>
      <c r="E33" s="3">
        <v>72.52</v>
      </c>
      <c r="F33" s="3">
        <v>0.28799999999999998</v>
      </c>
      <c r="G33" s="5" t="s">
        <v>648</v>
      </c>
      <c r="H33" s="3">
        <v>5.79</v>
      </c>
      <c r="I33" s="3">
        <v>9.5</v>
      </c>
      <c r="J33" s="3">
        <v>69.349999999999994</v>
      </c>
      <c r="K33" s="3">
        <v>98.86</v>
      </c>
      <c r="L33" s="3">
        <v>1.43</v>
      </c>
      <c r="M33" t="s">
        <v>735</v>
      </c>
    </row>
    <row r="34" spans="1:13" ht="15.5" x14ac:dyDescent="0.35">
      <c r="A34" s="3" t="s">
        <v>545</v>
      </c>
      <c r="B34" s="3">
        <v>4.0999999999999996</v>
      </c>
      <c r="C34" s="3">
        <v>71.12</v>
      </c>
      <c r="D34" s="4">
        <v>139213</v>
      </c>
      <c r="E34" s="3">
        <v>68.48</v>
      </c>
      <c r="F34" s="3">
        <v>0.38400000000000001</v>
      </c>
      <c r="G34" s="5" t="s">
        <v>649</v>
      </c>
      <c r="H34" s="3">
        <v>18.68</v>
      </c>
      <c r="I34" s="3">
        <v>8.07</v>
      </c>
      <c r="J34" s="3">
        <v>67.05</v>
      </c>
      <c r="K34" s="3">
        <v>97.96</v>
      </c>
      <c r="L34" s="3">
        <v>1.65</v>
      </c>
      <c r="M34" t="s">
        <v>735</v>
      </c>
    </row>
    <row r="35" spans="1:13" ht="15.5" x14ac:dyDescent="0.35">
      <c r="A35" s="3" t="s">
        <v>559</v>
      </c>
      <c r="B35" s="3">
        <v>6.41</v>
      </c>
      <c r="C35" s="3">
        <v>68.58</v>
      </c>
      <c r="D35" s="4">
        <v>61624</v>
      </c>
      <c r="E35" s="3">
        <v>70.55</v>
      </c>
      <c r="F35" s="3">
        <v>0.36199999999999999</v>
      </c>
      <c r="G35" s="5" t="s">
        <v>650</v>
      </c>
      <c r="H35" s="3">
        <v>16.489999999999998</v>
      </c>
      <c r="I35" s="3">
        <v>8.69</v>
      </c>
      <c r="J35" s="3">
        <v>67.849999999999994</v>
      </c>
      <c r="K35" s="3">
        <v>98.58</v>
      </c>
      <c r="L35" s="3">
        <v>1.55</v>
      </c>
      <c r="M35" t="s">
        <v>735</v>
      </c>
    </row>
    <row r="36" spans="1:13" ht="15.5" x14ac:dyDescent="0.35">
      <c r="A36" s="3" t="s">
        <v>560</v>
      </c>
      <c r="B36" s="3">
        <v>7.02</v>
      </c>
      <c r="C36" s="3">
        <v>65.7</v>
      </c>
      <c r="D36" s="4">
        <v>84305</v>
      </c>
      <c r="E36" s="3">
        <v>74.69</v>
      </c>
      <c r="F36" s="3">
        <v>0.39800000000000002</v>
      </c>
      <c r="G36" s="5" t="s">
        <v>651</v>
      </c>
      <c r="H36" s="3">
        <v>18.39</v>
      </c>
      <c r="I36" s="3">
        <v>10.01</v>
      </c>
      <c r="J36" s="3">
        <v>68.790000000000006</v>
      </c>
      <c r="K36" s="3">
        <v>98.39</v>
      </c>
      <c r="L36" s="3">
        <v>1.31</v>
      </c>
      <c r="M36" t="s">
        <v>735</v>
      </c>
    </row>
    <row r="37" spans="1:13" ht="15.5" x14ac:dyDescent="0.35">
      <c r="A37" s="3" t="s">
        <v>590</v>
      </c>
      <c r="B37" s="3">
        <v>5.25</v>
      </c>
      <c r="C37" s="3">
        <v>64.83</v>
      </c>
      <c r="D37" s="4">
        <v>64928</v>
      </c>
      <c r="E37" s="3">
        <v>69.540000000000006</v>
      </c>
      <c r="F37" s="3">
        <v>0.40500000000000003</v>
      </c>
      <c r="G37" s="5" t="s">
        <v>652</v>
      </c>
      <c r="H37" s="3">
        <v>18.54</v>
      </c>
      <c r="I37" s="3">
        <v>8.64</v>
      </c>
      <c r="J37" s="3">
        <v>66.45</v>
      </c>
      <c r="K37" s="3">
        <v>95.27</v>
      </c>
      <c r="L37" s="3">
        <v>1.43</v>
      </c>
      <c r="M37" t="s">
        <v>735</v>
      </c>
    </row>
    <row r="38" spans="1:13" ht="15.5" x14ac:dyDescent="0.35">
      <c r="A38" s="3" t="s">
        <v>591</v>
      </c>
      <c r="B38" s="3">
        <v>3.83</v>
      </c>
      <c r="C38" s="3">
        <v>81.739999999999995</v>
      </c>
      <c r="D38" s="4">
        <v>107566</v>
      </c>
      <c r="E38" s="3">
        <v>60.64</v>
      </c>
      <c r="F38" s="3">
        <v>0.315</v>
      </c>
      <c r="G38" s="5" t="s">
        <v>653</v>
      </c>
      <c r="H38" s="3">
        <v>30.41</v>
      </c>
      <c r="I38" s="3">
        <v>6.13</v>
      </c>
      <c r="J38" s="3">
        <v>66.989999999999995</v>
      </c>
      <c r="K38" s="3">
        <v>85.82</v>
      </c>
      <c r="L38" s="3">
        <v>1.45</v>
      </c>
      <c r="M38" t="s">
        <v>735</v>
      </c>
    </row>
    <row r="39" spans="1:13" ht="15.5" x14ac:dyDescent="0.35">
      <c r="A39" s="3" t="s">
        <v>592</v>
      </c>
      <c r="B39" s="3">
        <v>1.7</v>
      </c>
      <c r="C39" s="3">
        <v>85.87</v>
      </c>
      <c r="D39" s="4">
        <v>19111</v>
      </c>
      <c r="E39" s="3">
        <v>54.91</v>
      </c>
      <c r="F39" s="3">
        <v>0.30099999999999999</v>
      </c>
      <c r="G39" s="5" t="s">
        <v>654</v>
      </c>
      <c r="H39" s="3">
        <v>26.34</v>
      </c>
      <c r="I39" s="3">
        <v>4.3</v>
      </c>
      <c r="J39" s="3">
        <v>64.8</v>
      </c>
      <c r="K39" s="3">
        <v>68.319999999999993</v>
      </c>
      <c r="L39" s="3">
        <v>1.34</v>
      </c>
      <c r="M39" t="s">
        <v>735</v>
      </c>
    </row>
    <row r="40" spans="1:13" ht="15.5" x14ac:dyDescent="0.35">
      <c r="A40" s="3"/>
      <c r="B40" s="3"/>
      <c r="C40" s="3"/>
      <c r="E40" s="3"/>
      <c r="F40" s="3"/>
      <c r="G40" s="5"/>
      <c r="H40" s="3"/>
      <c r="I40" s="3"/>
      <c r="J40" s="3"/>
      <c r="K40" s="3"/>
      <c r="L4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47905-7D63-432C-88E6-64058094C6D8}">
  <dimension ref="A1:T18"/>
  <sheetViews>
    <sheetView workbookViewId="0">
      <selection activeCell="P12" sqref="P12"/>
    </sheetView>
  </sheetViews>
  <sheetFormatPr defaultRowHeight="14.5" x14ac:dyDescent="0.35"/>
  <cols>
    <col min="1" max="1" width="13.81640625" customWidth="1"/>
  </cols>
  <sheetData>
    <row r="1" spans="1:20" x14ac:dyDescent="0.35">
      <c r="A1" t="s">
        <v>738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</row>
    <row r="2" spans="1:20" x14ac:dyDescent="0.35">
      <c r="A2">
        <v>1</v>
      </c>
      <c r="B2" s="2">
        <v>73.900000000000006</v>
      </c>
      <c r="C2" s="2">
        <v>1.2</v>
      </c>
      <c r="D2" s="2">
        <v>6.9</v>
      </c>
      <c r="E2" s="2">
        <v>0</v>
      </c>
      <c r="F2" s="2">
        <v>0.2</v>
      </c>
      <c r="G2" s="2">
        <v>6</v>
      </c>
      <c r="H2" s="2">
        <v>5.5</v>
      </c>
      <c r="I2" s="2">
        <v>1.2</v>
      </c>
      <c r="J2" s="2">
        <v>1.5</v>
      </c>
      <c r="K2" s="2">
        <v>0.2</v>
      </c>
      <c r="L2" s="2">
        <v>0</v>
      </c>
      <c r="M2" s="2">
        <v>0</v>
      </c>
      <c r="N2" s="2">
        <v>0.1</v>
      </c>
      <c r="O2" s="2">
        <v>0.4</v>
      </c>
      <c r="P2" s="2">
        <v>0.8</v>
      </c>
      <c r="Q2" s="2">
        <v>0.1</v>
      </c>
      <c r="R2" s="2">
        <v>1.8</v>
      </c>
      <c r="T2" s="1"/>
    </row>
    <row r="3" spans="1:20" x14ac:dyDescent="0.35">
      <c r="A3">
        <v>2</v>
      </c>
      <c r="B3" s="2">
        <v>36.5</v>
      </c>
      <c r="C3" s="2">
        <v>23.1</v>
      </c>
      <c r="D3" s="2">
        <v>4.4000000000000004</v>
      </c>
      <c r="E3" s="2">
        <v>0</v>
      </c>
      <c r="F3" s="2">
        <v>0</v>
      </c>
      <c r="G3" s="2">
        <v>10</v>
      </c>
      <c r="H3" s="2">
        <v>11.1</v>
      </c>
      <c r="I3" s="2">
        <v>5.4</v>
      </c>
      <c r="J3" s="2">
        <v>2.5</v>
      </c>
      <c r="K3" s="2">
        <v>0</v>
      </c>
      <c r="L3" s="2">
        <v>0</v>
      </c>
      <c r="M3" s="2">
        <v>0</v>
      </c>
      <c r="N3" s="2">
        <v>1.2</v>
      </c>
      <c r="O3" s="2">
        <v>0</v>
      </c>
      <c r="P3" s="2">
        <v>0</v>
      </c>
      <c r="Q3" s="2">
        <v>0</v>
      </c>
      <c r="R3" s="2">
        <v>1.4</v>
      </c>
      <c r="T3" s="1"/>
    </row>
    <row r="4" spans="1:20" x14ac:dyDescent="0.35">
      <c r="A4">
        <v>3</v>
      </c>
      <c r="B4" s="2">
        <v>13.9</v>
      </c>
      <c r="C4" s="2">
        <v>0.7</v>
      </c>
      <c r="D4" s="2">
        <v>38.1</v>
      </c>
      <c r="E4" s="2">
        <v>0</v>
      </c>
      <c r="F4" s="2">
        <v>0.5</v>
      </c>
      <c r="G4" s="2">
        <v>8.1</v>
      </c>
      <c r="H4" s="2">
        <v>15.7</v>
      </c>
      <c r="I4" s="2">
        <v>3.9</v>
      </c>
      <c r="J4" s="2">
        <v>10.4</v>
      </c>
      <c r="K4" s="2">
        <v>0.7</v>
      </c>
      <c r="L4" s="2">
        <v>1.1000000000000001</v>
      </c>
      <c r="M4" s="2">
        <v>0</v>
      </c>
      <c r="N4" s="2">
        <v>1.3</v>
      </c>
      <c r="O4" s="2">
        <v>0.3</v>
      </c>
      <c r="P4" s="2">
        <v>0.6</v>
      </c>
      <c r="Q4" s="2">
        <v>0.5</v>
      </c>
      <c r="R4" s="2">
        <v>3.8</v>
      </c>
      <c r="T4" s="1"/>
    </row>
    <row r="5" spans="1:20" x14ac:dyDescent="0.35">
      <c r="A5">
        <v>4</v>
      </c>
      <c r="B5" s="2">
        <v>28.1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29.9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T5" s="1"/>
    </row>
    <row r="6" spans="1:20" x14ac:dyDescent="0.35">
      <c r="A6">
        <v>5</v>
      </c>
      <c r="B6" s="2">
        <v>9.9</v>
      </c>
      <c r="C6" s="2">
        <v>0</v>
      </c>
      <c r="D6" s="2">
        <v>0</v>
      </c>
      <c r="E6" s="2">
        <v>0</v>
      </c>
      <c r="F6" s="2">
        <v>43.8</v>
      </c>
      <c r="G6" s="2">
        <v>8.8000000000000007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T6" s="1"/>
    </row>
    <row r="7" spans="1:20" x14ac:dyDescent="0.35">
      <c r="A7">
        <v>6</v>
      </c>
      <c r="B7" s="2">
        <v>24.9</v>
      </c>
      <c r="C7" s="2">
        <v>0.9</v>
      </c>
      <c r="D7" s="2">
        <v>5.7</v>
      </c>
      <c r="E7" s="2">
        <v>0</v>
      </c>
      <c r="F7" s="2">
        <v>0.4</v>
      </c>
      <c r="G7" s="2">
        <v>51.1</v>
      </c>
      <c r="H7" s="2">
        <v>7.2</v>
      </c>
      <c r="I7" s="2">
        <v>3</v>
      </c>
      <c r="J7" s="2">
        <v>2.2999999999999998</v>
      </c>
      <c r="K7" s="2">
        <v>0.2</v>
      </c>
      <c r="L7" s="2">
        <v>0.4</v>
      </c>
      <c r="M7" s="2">
        <v>0</v>
      </c>
      <c r="N7" s="2">
        <v>0.5</v>
      </c>
      <c r="O7" s="2">
        <v>0.5</v>
      </c>
      <c r="P7" s="2">
        <v>0.2</v>
      </c>
      <c r="Q7" s="2">
        <v>0</v>
      </c>
      <c r="R7" s="2">
        <v>2.4</v>
      </c>
      <c r="T7" s="1"/>
    </row>
    <row r="8" spans="1:20" x14ac:dyDescent="0.35">
      <c r="A8">
        <v>7</v>
      </c>
      <c r="B8" s="2">
        <v>16.399999999999999</v>
      </c>
      <c r="C8" s="2">
        <v>1</v>
      </c>
      <c r="D8" s="2">
        <v>10.199999999999999</v>
      </c>
      <c r="E8" s="2">
        <v>0.2</v>
      </c>
      <c r="F8" s="2">
        <v>0.5</v>
      </c>
      <c r="G8" s="2">
        <v>5.4</v>
      </c>
      <c r="H8" s="2">
        <v>38.700000000000003</v>
      </c>
      <c r="I8" s="2">
        <v>4.8</v>
      </c>
      <c r="J8" s="2">
        <v>10.7</v>
      </c>
      <c r="K8" s="2">
        <v>1.2</v>
      </c>
      <c r="L8" s="2">
        <v>1.4</v>
      </c>
      <c r="M8" s="2">
        <v>0.3</v>
      </c>
      <c r="N8" s="2">
        <v>1.5</v>
      </c>
      <c r="O8" s="2">
        <v>0.7</v>
      </c>
      <c r="P8" s="2">
        <v>1.1000000000000001</v>
      </c>
      <c r="Q8" s="2">
        <v>1.5</v>
      </c>
      <c r="R8" s="2">
        <v>4.5</v>
      </c>
      <c r="T8" s="1"/>
    </row>
    <row r="9" spans="1:20" x14ac:dyDescent="0.35">
      <c r="A9">
        <v>8</v>
      </c>
      <c r="B9" s="2">
        <v>13.8</v>
      </c>
      <c r="C9" s="2">
        <v>1.6</v>
      </c>
      <c r="D9" s="2">
        <v>9.6999999999999993</v>
      </c>
      <c r="E9" s="2">
        <v>0</v>
      </c>
      <c r="F9" s="2">
        <v>0</v>
      </c>
      <c r="G9" s="2">
        <v>11.3</v>
      </c>
      <c r="H9" s="2">
        <v>14.2</v>
      </c>
      <c r="I9" s="2">
        <v>26.2</v>
      </c>
      <c r="J9" s="2">
        <v>11.6</v>
      </c>
      <c r="K9" s="2">
        <v>0</v>
      </c>
      <c r="L9" s="2">
        <v>2.2000000000000002</v>
      </c>
      <c r="M9" s="2">
        <v>0</v>
      </c>
      <c r="N9" s="2">
        <v>2</v>
      </c>
      <c r="O9" s="2">
        <v>0</v>
      </c>
      <c r="P9" s="2">
        <v>0</v>
      </c>
      <c r="Q9" s="2">
        <v>0</v>
      </c>
      <c r="R9" s="2">
        <v>3.5</v>
      </c>
      <c r="T9" s="1"/>
    </row>
    <row r="10" spans="1:20" x14ac:dyDescent="0.35">
      <c r="A10">
        <v>9</v>
      </c>
      <c r="B10" s="2">
        <v>12.2</v>
      </c>
      <c r="C10" s="2">
        <v>0</v>
      </c>
      <c r="D10" s="2">
        <v>12.4</v>
      </c>
      <c r="E10" s="2">
        <v>0</v>
      </c>
      <c r="F10" s="2">
        <v>0.2</v>
      </c>
      <c r="G10" s="2">
        <v>4.9000000000000004</v>
      </c>
      <c r="H10" s="2">
        <v>15.5</v>
      </c>
      <c r="I10" s="2">
        <v>5</v>
      </c>
      <c r="J10" s="2">
        <v>37.9</v>
      </c>
      <c r="K10" s="2">
        <v>1</v>
      </c>
      <c r="L10" s="2">
        <v>0.6</v>
      </c>
      <c r="M10" s="2">
        <v>0</v>
      </c>
      <c r="N10" s="2">
        <v>1.3</v>
      </c>
      <c r="O10" s="2">
        <v>0.6</v>
      </c>
      <c r="P10" s="2">
        <v>1.8</v>
      </c>
      <c r="Q10" s="2">
        <v>0.5</v>
      </c>
      <c r="R10" s="2">
        <v>5.4</v>
      </c>
      <c r="T10" s="1"/>
    </row>
    <row r="11" spans="1:20" x14ac:dyDescent="0.35">
      <c r="A11">
        <v>10</v>
      </c>
      <c r="B11" s="2">
        <v>7.1</v>
      </c>
      <c r="C11" s="2">
        <v>0</v>
      </c>
      <c r="D11" s="2">
        <v>8</v>
      </c>
      <c r="E11" s="2">
        <v>0</v>
      </c>
      <c r="F11" s="2">
        <v>0</v>
      </c>
      <c r="G11" s="2">
        <v>0</v>
      </c>
      <c r="H11" s="2">
        <v>25.5</v>
      </c>
      <c r="I11" s="2">
        <v>9.4</v>
      </c>
      <c r="J11" s="2">
        <v>16.899999999999999</v>
      </c>
      <c r="K11" s="2">
        <v>16.899999999999999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T11" s="1"/>
    </row>
    <row r="12" spans="1:20" x14ac:dyDescent="0.35">
      <c r="A12">
        <v>11</v>
      </c>
      <c r="B12" s="2">
        <v>15.1</v>
      </c>
      <c r="C12" s="2">
        <v>0</v>
      </c>
      <c r="D12" s="2">
        <v>10.7</v>
      </c>
      <c r="E12" s="2">
        <v>0</v>
      </c>
      <c r="F12" s="2">
        <v>0</v>
      </c>
      <c r="G12" s="2">
        <v>0</v>
      </c>
      <c r="H12" s="2">
        <v>13.5</v>
      </c>
      <c r="I12" s="2">
        <v>3.4</v>
      </c>
      <c r="J12" s="2">
        <v>7.1</v>
      </c>
      <c r="K12" s="2">
        <v>3.7</v>
      </c>
      <c r="L12" s="2">
        <v>20</v>
      </c>
      <c r="M12" s="2">
        <v>0</v>
      </c>
      <c r="N12" s="2">
        <v>2.4</v>
      </c>
      <c r="O12" s="2">
        <v>0</v>
      </c>
      <c r="P12" s="2">
        <v>7.3</v>
      </c>
      <c r="Q12" s="2">
        <v>0</v>
      </c>
      <c r="R12" s="2">
        <v>5.7</v>
      </c>
      <c r="T12" s="1"/>
    </row>
    <row r="13" spans="1:20" x14ac:dyDescent="0.35">
      <c r="A13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20.5</v>
      </c>
      <c r="I13" s="2">
        <v>19.5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T13" s="1"/>
    </row>
    <row r="14" spans="1:20" x14ac:dyDescent="0.35">
      <c r="A14">
        <v>13</v>
      </c>
      <c r="B14" s="2">
        <v>9.6</v>
      </c>
      <c r="C14" s="2">
        <v>0</v>
      </c>
      <c r="D14" s="2">
        <v>11.9</v>
      </c>
      <c r="E14" s="2">
        <v>0</v>
      </c>
      <c r="F14" s="2">
        <v>0</v>
      </c>
      <c r="G14" s="2">
        <v>5.5</v>
      </c>
      <c r="H14" s="2">
        <v>17.3</v>
      </c>
      <c r="I14" s="2">
        <v>7.5</v>
      </c>
      <c r="J14" s="2">
        <v>6.3</v>
      </c>
      <c r="K14" s="2">
        <v>0</v>
      </c>
      <c r="L14" s="2">
        <v>1.8</v>
      </c>
      <c r="M14" s="2">
        <v>0</v>
      </c>
      <c r="N14" s="2">
        <v>24.3</v>
      </c>
      <c r="O14" s="2">
        <v>3.5</v>
      </c>
      <c r="P14" s="2">
        <v>3.5</v>
      </c>
      <c r="Q14" s="2">
        <v>0</v>
      </c>
      <c r="R14" s="2">
        <v>6</v>
      </c>
      <c r="T14" s="1"/>
    </row>
    <row r="15" spans="1:20" x14ac:dyDescent="0.35">
      <c r="A15">
        <v>14</v>
      </c>
      <c r="B15" s="2">
        <v>21.3</v>
      </c>
      <c r="C15" s="2">
        <v>0</v>
      </c>
      <c r="D15" s="2">
        <v>7.8</v>
      </c>
      <c r="E15" s="2">
        <v>0.5</v>
      </c>
      <c r="F15" s="2">
        <v>0</v>
      </c>
      <c r="G15" s="2">
        <v>3</v>
      </c>
      <c r="H15" s="2">
        <v>13.9</v>
      </c>
      <c r="I15" s="2">
        <v>2.2000000000000002</v>
      </c>
      <c r="J15" s="2">
        <v>5.9</v>
      </c>
      <c r="K15" s="2">
        <v>1.7</v>
      </c>
      <c r="L15" s="2">
        <v>0</v>
      </c>
      <c r="M15" s="2">
        <v>0</v>
      </c>
      <c r="N15" s="2">
        <v>2.7</v>
      </c>
      <c r="O15" s="2">
        <v>23.6</v>
      </c>
      <c r="P15" s="2">
        <v>9.1999999999999993</v>
      </c>
      <c r="Q15" s="2">
        <v>2.2999999999999998</v>
      </c>
      <c r="R15" s="2">
        <v>2.7</v>
      </c>
      <c r="T15" s="1"/>
    </row>
    <row r="16" spans="1:20" x14ac:dyDescent="0.35">
      <c r="A16">
        <v>15</v>
      </c>
      <c r="B16" s="2">
        <v>12.5</v>
      </c>
      <c r="C16" s="2">
        <v>0</v>
      </c>
      <c r="D16" s="2">
        <v>4.8</v>
      </c>
      <c r="E16" s="2">
        <v>0</v>
      </c>
      <c r="F16" s="2">
        <v>0</v>
      </c>
      <c r="G16" s="2">
        <v>2.2000000000000002</v>
      </c>
      <c r="H16" s="2">
        <v>14.9</v>
      </c>
      <c r="I16" s="2">
        <v>2</v>
      </c>
      <c r="J16" s="2">
        <v>4.2</v>
      </c>
      <c r="K16" s="2">
        <v>0</v>
      </c>
      <c r="L16" s="2">
        <v>0</v>
      </c>
      <c r="M16" s="2">
        <v>0</v>
      </c>
      <c r="N16" s="2">
        <v>2.2000000000000002</v>
      </c>
      <c r="O16" s="2">
        <v>3.7</v>
      </c>
      <c r="P16" s="2">
        <v>45.9</v>
      </c>
      <c r="Q16" s="2">
        <v>0</v>
      </c>
      <c r="R16" s="2">
        <v>3.6</v>
      </c>
      <c r="T16" s="1"/>
    </row>
    <row r="17" spans="1:20" x14ac:dyDescent="0.35">
      <c r="A17">
        <v>16</v>
      </c>
      <c r="B17" s="2">
        <v>6.3</v>
      </c>
      <c r="C17" s="2">
        <v>0</v>
      </c>
      <c r="D17" s="2">
        <v>6.5</v>
      </c>
      <c r="E17" s="2">
        <v>0</v>
      </c>
      <c r="F17" s="2">
        <v>0</v>
      </c>
      <c r="G17" s="2">
        <v>0</v>
      </c>
      <c r="H17" s="2">
        <v>4.5</v>
      </c>
      <c r="I17" s="2">
        <v>0</v>
      </c>
      <c r="J17" s="2">
        <v>7.6</v>
      </c>
      <c r="K17" s="2">
        <v>0</v>
      </c>
      <c r="L17" s="2">
        <v>0</v>
      </c>
      <c r="M17" s="2">
        <v>0</v>
      </c>
      <c r="N17" s="2">
        <v>0</v>
      </c>
      <c r="O17" s="2">
        <v>4.2</v>
      </c>
      <c r="P17" s="2">
        <v>0</v>
      </c>
      <c r="Q17" s="2">
        <v>52.9</v>
      </c>
      <c r="R17" s="2">
        <v>0</v>
      </c>
      <c r="T17" s="1"/>
    </row>
    <row r="18" spans="1:20" x14ac:dyDescent="0.35">
      <c r="A18">
        <v>17</v>
      </c>
      <c r="B18" s="2">
        <v>13.9</v>
      </c>
      <c r="C18" s="2">
        <v>0</v>
      </c>
      <c r="D18" s="2">
        <v>12.2</v>
      </c>
      <c r="E18" s="2">
        <v>0</v>
      </c>
      <c r="F18" s="2">
        <v>0</v>
      </c>
      <c r="G18" s="2">
        <v>5.6</v>
      </c>
      <c r="H18" s="2">
        <v>18</v>
      </c>
      <c r="I18" s="2">
        <v>2.2999999999999998</v>
      </c>
      <c r="J18" s="2">
        <v>13.2</v>
      </c>
      <c r="K18" s="2">
        <v>0</v>
      </c>
      <c r="L18" s="2">
        <v>0</v>
      </c>
      <c r="M18" s="2">
        <v>0</v>
      </c>
      <c r="N18" s="2">
        <v>1</v>
      </c>
      <c r="O18" s="2">
        <v>2.4</v>
      </c>
      <c r="P18" s="2">
        <v>2.6</v>
      </c>
      <c r="Q18" s="2">
        <v>0</v>
      </c>
      <c r="R18" s="2">
        <v>25.5</v>
      </c>
      <c r="T1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7ABDD-9BA9-4A97-9800-3C4D638BA507}">
  <dimension ref="A1:AI35"/>
  <sheetViews>
    <sheetView workbookViewId="0">
      <selection activeCell="D1" sqref="D1"/>
    </sheetView>
  </sheetViews>
  <sheetFormatPr defaultRowHeight="14.5" x14ac:dyDescent="0.35"/>
  <cols>
    <col min="1" max="1" width="23.1796875" customWidth="1"/>
    <col min="2" max="5" width="9.26953125" bestFit="1" customWidth="1"/>
    <col min="6" max="6" width="8.26953125" bestFit="1" customWidth="1"/>
    <col min="7" max="7" width="9.26953125" bestFit="1" customWidth="1"/>
  </cols>
  <sheetData>
    <row r="1" spans="1:35" ht="72.5" x14ac:dyDescent="0.35">
      <c r="A1" s="6" t="s">
        <v>736</v>
      </c>
      <c r="B1" s="6" t="s">
        <v>41</v>
      </c>
      <c r="C1" s="6" t="s">
        <v>65</v>
      </c>
      <c r="D1" s="6" t="s">
        <v>99</v>
      </c>
      <c r="E1" s="6" t="s">
        <v>119</v>
      </c>
      <c r="F1" s="6" t="s">
        <v>132</v>
      </c>
      <c r="G1" s="6" t="s">
        <v>144</v>
      </c>
      <c r="H1" s="6" t="s">
        <v>162</v>
      </c>
      <c r="I1" s="6" t="s">
        <v>173</v>
      </c>
      <c r="J1" s="6" t="s">
        <v>737</v>
      </c>
      <c r="K1" s="6" t="s">
        <v>197</v>
      </c>
      <c r="L1" s="6" t="s">
        <v>205</v>
      </c>
      <c r="M1" s="6" t="s">
        <v>212</v>
      </c>
      <c r="N1" s="6" t="s">
        <v>240</v>
      </c>
      <c r="O1" s="6" t="s">
        <v>611</v>
      </c>
      <c r="P1" s="6" t="s">
        <v>282</v>
      </c>
      <c r="Q1" s="6" t="s">
        <v>321</v>
      </c>
      <c r="R1" s="6" t="s">
        <v>330</v>
      </c>
      <c r="S1" s="6" t="s">
        <v>340</v>
      </c>
      <c r="T1" s="6" t="s">
        <v>351</v>
      </c>
      <c r="U1" s="6" t="s">
        <v>374</v>
      </c>
      <c r="V1" s="6" t="s">
        <v>389</v>
      </c>
      <c r="W1" s="6" t="s">
        <v>404</v>
      </c>
      <c r="X1" s="6" t="s">
        <v>418</v>
      </c>
      <c r="Y1" s="6" t="s">
        <v>429</v>
      </c>
      <c r="Z1" s="6" t="s">
        <v>435</v>
      </c>
      <c r="AA1" s="6" t="s">
        <v>451</v>
      </c>
      <c r="AB1" s="6" t="s">
        <v>465</v>
      </c>
      <c r="AC1" s="6" t="s">
        <v>490</v>
      </c>
      <c r="AD1" s="6" t="s">
        <v>508</v>
      </c>
      <c r="AE1" s="6" t="s">
        <v>515</v>
      </c>
      <c r="AF1" s="6" t="s">
        <v>522</v>
      </c>
      <c r="AG1" s="6" t="s">
        <v>534</v>
      </c>
      <c r="AH1" s="6" t="s">
        <v>545</v>
      </c>
      <c r="AI1" s="6" t="s">
        <v>560</v>
      </c>
    </row>
    <row r="2" spans="1:35" x14ac:dyDescent="0.35">
      <c r="A2" s="8" t="s">
        <v>41</v>
      </c>
      <c r="B2" s="7">
        <v>100508</v>
      </c>
      <c r="C2" s="7">
        <v>21622</v>
      </c>
      <c r="D2" s="7">
        <v>1271</v>
      </c>
      <c r="E2" s="7">
        <v>2076</v>
      </c>
      <c r="F2" s="7">
        <v>474</v>
      </c>
      <c r="G2" s="7">
        <v>379</v>
      </c>
      <c r="H2" s="7">
        <v>270</v>
      </c>
      <c r="I2" s="7">
        <v>390</v>
      </c>
      <c r="J2" s="7">
        <v>34</v>
      </c>
      <c r="K2" s="7">
        <v>921</v>
      </c>
      <c r="L2" s="7">
        <v>2000</v>
      </c>
      <c r="M2" s="7">
        <v>3038</v>
      </c>
      <c r="N2" s="7">
        <v>1191</v>
      </c>
      <c r="O2" s="7">
        <v>255</v>
      </c>
      <c r="P2" s="7">
        <v>658</v>
      </c>
      <c r="Q2" s="7">
        <v>761</v>
      </c>
      <c r="R2" s="7"/>
      <c r="S2" s="7">
        <v>86</v>
      </c>
      <c r="T2" s="7"/>
      <c r="U2" s="7">
        <v>100</v>
      </c>
      <c r="V2" s="7">
        <v>2</v>
      </c>
      <c r="W2" s="7">
        <v>199</v>
      </c>
      <c r="X2" s="7">
        <v>2</v>
      </c>
      <c r="Y2" s="7">
        <v>26</v>
      </c>
      <c r="Z2" s="7">
        <v>68</v>
      </c>
      <c r="AA2" s="7">
        <v>8</v>
      </c>
      <c r="AB2" s="7">
        <v>47</v>
      </c>
      <c r="AC2" s="7">
        <v>47</v>
      </c>
      <c r="AD2" s="7">
        <v>14</v>
      </c>
      <c r="AE2" s="7">
        <v>23</v>
      </c>
      <c r="AF2" s="7">
        <v>48</v>
      </c>
      <c r="AG2" s="7">
        <v>13</v>
      </c>
      <c r="AH2" s="7">
        <v>32</v>
      </c>
      <c r="AI2" s="7">
        <v>93</v>
      </c>
    </row>
    <row r="3" spans="1:35" x14ac:dyDescent="0.35">
      <c r="A3" s="8" t="s">
        <v>65</v>
      </c>
      <c r="B3" s="7">
        <v>14485</v>
      </c>
      <c r="C3" s="7">
        <v>464118</v>
      </c>
      <c r="D3" s="7">
        <v>9316</v>
      </c>
      <c r="E3" s="7">
        <v>49179</v>
      </c>
      <c r="F3" s="7">
        <v>6297</v>
      </c>
      <c r="G3" s="7">
        <v>3498</v>
      </c>
      <c r="H3" s="7">
        <v>1794</v>
      </c>
      <c r="I3" s="7">
        <v>1461</v>
      </c>
      <c r="J3" s="7">
        <v>345</v>
      </c>
      <c r="K3" s="7">
        <v>18601</v>
      </c>
      <c r="L3" s="7">
        <v>19064</v>
      </c>
      <c r="M3" s="7">
        <v>21257</v>
      </c>
      <c r="N3" s="7">
        <v>3180</v>
      </c>
      <c r="O3" s="7">
        <v>1231</v>
      </c>
      <c r="P3" s="7">
        <v>4116</v>
      </c>
      <c r="Q3" s="7">
        <v>6178</v>
      </c>
      <c r="R3" s="7">
        <v>874</v>
      </c>
      <c r="S3" s="7">
        <v>823</v>
      </c>
      <c r="T3" s="7">
        <v>244</v>
      </c>
      <c r="U3" s="7">
        <v>1695</v>
      </c>
      <c r="V3" s="7">
        <v>1519</v>
      </c>
      <c r="W3" s="7">
        <v>813</v>
      </c>
      <c r="X3" s="7">
        <v>1698</v>
      </c>
      <c r="Y3" s="7">
        <v>320</v>
      </c>
      <c r="Z3" s="7">
        <v>1064</v>
      </c>
      <c r="AA3" s="7">
        <v>250</v>
      </c>
      <c r="AB3" s="7">
        <v>726</v>
      </c>
      <c r="AC3" s="7">
        <v>171</v>
      </c>
      <c r="AD3" s="7">
        <v>57</v>
      </c>
      <c r="AE3" s="7">
        <v>45</v>
      </c>
      <c r="AF3" s="7">
        <v>101</v>
      </c>
      <c r="AG3" s="7">
        <v>12</v>
      </c>
      <c r="AH3" s="7">
        <v>324</v>
      </c>
      <c r="AI3" s="7">
        <v>1574</v>
      </c>
    </row>
    <row r="4" spans="1:35" x14ac:dyDescent="0.35">
      <c r="A4" s="8" t="s">
        <v>99</v>
      </c>
      <c r="B4" s="7">
        <v>2161</v>
      </c>
      <c r="C4" s="7">
        <v>18150</v>
      </c>
      <c r="D4" s="7">
        <v>197192</v>
      </c>
      <c r="E4" s="7">
        <v>45624</v>
      </c>
      <c r="F4" s="7">
        <v>14579</v>
      </c>
      <c r="G4" s="7">
        <v>4942</v>
      </c>
      <c r="H4" s="7">
        <v>5331</v>
      </c>
      <c r="I4" s="7">
        <v>3646</v>
      </c>
      <c r="J4" s="7">
        <v>461</v>
      </c>
      <c r="K4" s="7">
        <v>15324</v>
      </c>
      <c r="L4" s="7">
        <v>22428</v>
      </c>
      <c r="M4" s="7">
        <v>20448</v>
      </c>
      <c r="N4" s="7">
        <v>4552</v>
      </c>
      <c r="O4" s="7">
        <v>987</v>
      </c>
      <c r="P4" s="7">
        <v>2629</v>
      </c>
      <c r="Q4" s="7">
        <v>7232</v>
      </c>
      <c r="R4" s="7">
        <v>733</v>
      </c>
      <c r="S4" s="7">
        <v>385</v>
      </c>
      <c r="T4" s="7">
        <v>376</v>
      </c>
      <c r="U4" s="7">
        <v>579</v>
      </c>
      <c r="V4" s="7">
        <v>474</v>
      </c>
      <c r="W4" s="7">
        <v>192</v>
      </c>
      <c r="X4" s="7">
        <v>406</v>
      </c>
      <c r="Y4" s="7">
        <v>194</v>
      </c>
      <c r="Z4" s="7">
        <v>157</v>
      </c>
      <c r="AA4" s="7">
        <v>29</v>
      </c>
      <c r="AB4" s="7">
        <v>704</v>
      </c>
      <c r="AC4" s="7">
        <v>126</v>
      </c>
      <c r="AD4" s="7">
        <v>38</v>
      </c>
      <c r="AE4" s="7">
        <v>8</v>
      </c>
      <c r="AF4" s="7">
        <v>102</v>
      </c>
      <c r="AG4" s="7">
        <v>110</v>
      </c>
      <c r="AH4" s="7">
        <v>316</v>
      </c>
      <c r="AI4" s="7">
        <v>605</v>
      </c>
    </row>
    <row r="5" spans="1:35" x14ac:dyDescent="0.35">
      <c r="A5" s="8" t="s">
        <v>119</v>
      </c>
      <c r="B5" s="7">
        <v>2363</v>
      </c>
      <c r="C5" s="7">
        <v>65668</v>
      </c>
      <c r="D5" s="7">
        <v>21359</v>
      </c>
      <c r="E5" s="7">
        <v>132734</v>
      </c>
      <c r="F5" s="7">
        <v>4359</v>
      </c>
      <c r="G5" s="7">
        <v>2715</v>
      </c>
      <c r="H5" s="7">
        <v>936</v>
      </c>
      <c r="I5" s="7">
        <v>2569</v>
      </c>
      <c r="J5" s="7">
        <v>35</v>
      </c>
      <c r="K5" s="7">
        <v>7531</v>
      </c>
      <c r="L5" s="7">
        <v>2643</v>
      </c>
      <c r="M5" s="7">
        <v>5352</v>
      </c>
      <c r="N5" s="7">
        <v>5884</v>
      </c>
      <c r="O5" s="7">
        <v>1514</v>
      </c>
      <c r="P5" s="7">
        <v>3610</v>
      </c>
      <c r="Q5" s="7">
        <v>1339</v>
      </c>
      <c r="R5" s="7">
        <v>61</v>
      </c>
      <c r="S5" s="7">
        <v>235</v>
      </c>
      <c r="T5" s="7">
        <v>327</v>
      </c>
      <c r="U5" s="7">
        <v>324</v>
      </c>
      <c r="V5" s="7">
        <v>97</v>
      </c>
      <c r="W5" s="7">
        <v>251</v>
      </c>
      <c r="X5" s="7">
        <v>272</v>
      </c>
      <c r="Y5" s="7">
        <v>100</v>
      </c>
      <c r="Z5" s="7">
        <v>67</v>
      </c>
      <c r="AA5" s="7"/>
      <c r="AB5" s="7">
        <v>182</v>
      </c>
      <c r="AC5" s="7">
        <v>82</v>
      </c>
      <c r="AD5" s="7">
        <v>31</v>
      </c>
      <c r="AE5" s="7"/>
      <c r="AF5" s="7"/>
      <c r="AG5" s="7">
        <v>6</v>
      </c>
      <c r="AH5" s="7">
        <v>22</v>
      </c>
      <c r="AI5" s="7">
        <v>17</v>
      </c>
    </row>
    <row r="6" spans="1:35" x14ac:dyDescent="0.35">
      <c r="A6" s="8" t="s">
        <v>132</v>
      </c>
      <c r="B6" s="7">
        <v>432</v>
      </c>
      <c r="C6" s="7">
        <v>7280</v>
      </c>
      <c r="D6" s="7">
        <v>8843</v>
      </c>
      <c r="E6" s="7">
        <v>5030</v>
      </c>
      <c r="F6" s="7">
        <v>81366</v>
      </c>
      <c r="G6" s="7">
        <v>7325</v>
      </c>
      <c r="H6" s="7">
        <v>1141</v>
      </c>
      <c r="I6" s="7">
        <v>2875</v>
      </c>
      <c r="J6" s="7">
        <v>266</v>
      </c>
      <c r="K6" s="7">
        <v>1708</v>
      </c>
      <c r="L6" s="7">
        <v>1670</v>
      </c>
      <c r="M6" s="7">
        <v>2979</v>
      </c>
      <c r="N6" s="7">
        <v>3741</v>
      </c>
      <c r="O6" s="7">
        <v>592</v>
      </c>
      <c r="P6" s="7">
        <v>1790</v>
      </c>
      <c r="Q6" s="7">
        <v>560</v>
      </c>
      <c r="R6" s="7">
        <v>80</v>
      </c>
      <c r="S6" s="7">
        <v>117</v>
      </c>
      <c r="T6" s="7">
        <v>85</v>
      </c>
      <c r="U6" s="7">
        <v>172</v>
      </c>
      <c r="V6" s="7">
        <v>179</v>
      </c>
      <c r="W6" s="7">
        <v>20</v>
      </c>
      <c r="X6" s="7">
        <v>133</v>
      </c>
      <c r="Y6" s="7">
        <v>161</v>
      </c>
      <c r="Z6" s="7">
        <v>10</v>
      </c>
      <c r="AA6" s="7">
        <v>18</v>
      </c>
      <c r="AB6" s="7">
        <v>124</v>
      </c>
      <c r="AC6" s="7">
        <v>89</v>
      </c>
      <c r="AD6" s="7"/>
      <c r="AE6" s="7">
        <v>73</v>
      </c>
      <c r="AF6" s="7">
        <v>35</v>
      </c>
      <c r="AG6" s="7">
        <v>5</v>
      </c>
      <c r="AH6" s="7"/>
      <c r="AI6" s="7">
        <v>224</v>
      </c>
    </row>
    <row r="7" spans="1:35" x14ac:dyDescent="0.35">
      <c r="A7" s="8" t="s">
        <v>144</v>
      </c>
      <c r="B7" s="7">
        <v>1024</v>
      </c>
      <c r="C7" s="7">
        <v>3868</v>
      </c>
      <c r="D7" s="7">
        <v>2304</v>
      </c>
      <c r="E7" s="7">
        <v>2547</v>
      </c>
      <c r="F7" s="7">
        <v>5056</v>
      </c>
      <c r="G7" s="7">
        <v>168618</v>
      </c>
      <c r="H7" s="7">
        <v>7846</v>
      </c>
      <c r="I7" s="7">
        <v>19987</v>
      </c>
      <c r="J7" s="7">
        <v>2641</v>
      </c>
      <c r="K7" s="7">
        <v>1574</v>
      </c>
      <c r="L7" s="7">
        <v>5757</v>
      </c>
      <c r="M7" s="7">
        <v>13239</v>
      </c>
      <c r="N7" s="7">
        <v>6659</v>
      </c>
      <c r="O7" s="7">
        <v>1819</v>
      </c>
      <c r="P7" s="7">
        <v>4309</v>
      </c>
      <c r="Q7" s="7">
        <v>4046</v>
      </c>
      <c r="R7" s="7">
        <v>328</v>
      </c>
      <c r="S7" s="7">
        <v>175</v>
      </c>
      <c r="T7" s="7">
        <v>38</v>
      </c>
      <c r="U7" s="7">
        <v>231</v>
      </c>
      <c r="V7" s="7">
        <v>207</v>
      </c>
      <c r="W7" s="7">
        <v>198</v>
      </c>
      <c r="X7" s="7">
        <v>920</v>
      </c>
      <c r="Y7" s="7">
        <v>92</v>
      </c>
      <c r="Z7" s="7">
        <v>15</v>
      </c>
      <c r="AA7" s="7">
        <v>58</v>
      </c>
      <c r="AB7" s="7">
        <v>251</v>
      </c>
      <c r="AC7" s="7">
        <v>84</v>
      </c>
      <c r="AD7" s="7">
        <v>15</v>
      </c>
      <c r="AE7" s="7">
        <v>107</v>
      </c>
      <c r="AF7" s="7">
        <v>41</v>
      </c>
      <c r="AG7" s="7"/>
      <c r="AH7" s="7"/>
      <c r="AI7" s="7">
        <v>248</v>
      </c>
    </row>
    <row r="8" spans="1:35" x14ac:dyDescent="0.35">
      <c r="A8" s="8" t="s">
        <v>162</v>
      </c>
      <c r="B8" s="7">
        <v>318</v>
      </c>
      <c r="C8" s="7">
        <v>2100</v>
      </c>
      <c r="D8" s="7">
        <v>2665</v>
      </c>
      <c r="E8" s="7">
        <v>1230</v>
      </c>
      <c r="F8" s="7">
        <v>2479</v>
      </c>
      <c r="G8" s="7">
        <v>8714</v>
      </c>
      <c r="H8" s="7">
        <v>43480</v>
      </c>
      <c r="I8" s="7">
        <v>3466</v>
      </c>
      <c r="J8" s="7">
        <v>281</v>
      </c>
      <c r="K8" s="7">
        <v>766</v>
      </c>
      <c r="L8" s="7">
        <v>2108</v>
      </c>
      <c r="M8" s="7">
        <v>4523</v>
      </c>
      <c r="N8" s="7">
        <v>1857</v>
      </c>
      <c r="O8" s="7">
        <v>863</v>
      </c>
      <c r="P8" s="7">
        <v>1107</v>
      </c>
      <c r="Q8" s="7">
        <v>888</v>
      </c>
      <c r="R8" s="7">
        <v>96</v>
      </c>
      <c r="S8" s="7">
        <v>69</v>
      </c>
      <c r="T8" s="7">
        <v>12</v>
      </c>
      <c r="U8" s="7">
        <v>131</v>
      </c>
      <c r="V8" s="7">
        <v>109</v>
      </c>
      <c r="W8" s="7">
        <v>63</v>
      </c>
      <c r="X8" s="7">
        <v>123</v>
      </c>
      <c r="Y8" s="7">
        <v>10</v>
      </c>
      <c r="Z8" s="7">
        <v>18</v>
      </c>
      <c r="AA8" s="7">
        <v>8</v>
      </c>
      <c r="AB8" s="7">
        <v>101</v>
      </c>
      <c r="AC8" s="7"/>
      <c r="AD8" s="7"/>
      <c r="AE8" s="7">
        <v>105</v>
      </c>
      <c r="AF8" s="7">
        <v>43</v>
      </c>
      <c r="AG8" s="7">
        <v>13</v>
      </c>
      <c r="AH8" s="7">
        <v>4</v>
      </c>
      <c r="AI8" s="7">
        <v>182</v>
      </c>
    </row>
    <row r="9" spans="1:35" x14ac:dyDescent="0.35">
      <c r="A9" s="8" t="s">
        <v>173</v>
      </c>
      <c r="B9" s="7">
        <v>503</v>
      </c>
      <c r="C9" s="7">
        <v>2614</v>
      </c>
      <c r="D9" s="7">
        <v>2031</v>
      </c>
      <c r="E9" s="7">
        <v>2383</v>
      </c>
      <c r="F9" s="7">
        <v>2169</v>
      </c>
      <c r="G9" s="7">
        <v>24030</v>
      </c>
      <c r="H9" s="7">
        <v>1763</v>
      </c>
      <c r="I9" s="7">
        <v>256948</v>
      </c>
      <c r="J9" s="7">
        <v>2306</v>
      </c>
      <c r="K9" s="7">
        <v>1267</v>
      </c>
      <c r="L9" s="7">
        <v>18517</v>
      </c>
      <c r="M9" s="7">
        <v>20634</v>
      </c>
      <c r="N9" s="7">
        <v>8402</v>
      </c>
      <c r="O9" s="7">
        <v>2307</v>
      </c>
      <c r="P9" s="7">
        <v>7216</v>
      </c>
      <c r="Q9" s="7">
        <v>18099</v>
      </c>
      <c r="R9" s="7">
        <v>773</v>
      </c>
      <c r="S9" s="7">
        <v>44</v>
      </c>
      <c r="T9" s="7">
        <v>74</v>
      </c>
      <c r="U9" s="7">
        <v>1139</v>
      </c>
      <c r="V9" s="7">
        <v>314</v>
      </c>
      <c r="W9" s="7">
        <v>606</v>
      </c>
      <c r="X9" s="7">
        <v>1058</v>
      </c>
      <c r="Y9" s="7"/>
      <c r="Z9" s="7">
        <v>141</v>
      </c>
      <c r="AA9" s="7">
        <v>118</v>
      </c>
      <c r="AB9" s="7">
        <v>616</v>
      </c>
      <c r="AC9" s="7">
        <v>109</v>
      </c>
      <c r="AD9" s="7">
        <v>31</v>
      </c>
      <c r="AE9" s="7">
        <v>3</v>
      </c>
      <c r="AF9" s="7">
        <v>142</v>
      </c>
      <c r="AG9" s="7"/>
      <c r="AH9" s="7">
        <v>373</v>
      </c>
      <c r="AI9" s="7">
        <v>401</v>
      </c>
    </row>
    <row r="10" spans="1:35" ht="29" x14ac:dyDescent="0.35">
      <c r="A10" s="8" t="s">
        <v>737</v>
      </c>
      <c r="B10" s="7">
        <v>51</v>
      </c>
      <c r="C10" s="7">
        <v>823</v>
      </c>
      <c r="D10" s="7">
        <v>590</v>
      </c>
      <c r="E10" s="7">
        <v>344</v>
      </c>
      <c r="F10" s="7">
        <v>640</v>
      </c>
      <c r="G10" s="7">
        <v>7400</v>
      </c>
      <c r="H10" s="7">
        <v>332</v>
      </c>
      <c r="I10" s="7">
        <v>3030</v>
      </c>
      <c r="J10" s="7">
        <v>23139</v>
      </c>
      <c r="K10" s="7">
        <v>800</v>
      </c>
      <c r="L10" s="7">
        <v>3638</v>
      </c>
      <c r="M10" s="7">
        <v>4325</v>
      </c>
      <c r="N10" s="7">
        <v>2072</v>
      </c>
      <c r="O10" s="7">
        <v>1174</v>
      </c>
      <c r="P10" s="7">
        <v>1507</v>
      </c>
      <c r="Q10" s="7">
        <v>1146</v>
      </c>
      <c r="R10" s="7">
        <v>117</v>
      </c>
      <c r="S10" s="7">
        <v>591</v>
      </c>
      <c r="T10" s="7">
        <v>113</v>
      </c>
      <c r="U10" s="7">
        <v>210</v>
      </c>
      <c r="V10" s="7">
        <v>51</v>
      </c>
      <c r="W10" s="7">
        <v>33</v>
      </c>
      <c r="X10" s="7">
        <v>112</v>
      </c>
      <c r="Y10" s="7">
        <v>82</v>
      </c>
      <c r="Z10" s="7">
        <v>52</v>
      </c>
      <c r="AA10" s="7">
        <v>144</v>
      </c>
      <c r="AB10" s="7">
        <v>261</v>
      </c>
      <c r="AC10" s="7">
        <v>378</v>
      </c>
      <c r="AD10" s="7">
        <v>75</v>
      </c>
      <c r="AE10" s="7">
        <v>86</v>
      </c>
      <c r="AF10" s="7">
        <v>2</v>
      </c>
      <c r="AG10" s="7">
        <v>22</v>
      </c>
      <c r="AH10" s="7">
        <v>17</v>
      </c>
      <c r="AI10" s="7">
        <v>2</v>
      </c>
    </row>
    <row r="11" spans="1:35" x14ac:dyDescent="0.35">
      <c r="A11" s="8" t="s">
        <v>197</v>
      </c>
      <c r="B11" s="7">
        <v>1871</v>
      </c>
      <c r="C11" s="7">
        <v>24366</v>
      </c>
      <c r="D11" s="7">
        <v>11221</v>
      </c>
      <c r="E11" s="7">
        <v>13622</v>
      </c>
      <c r="F11" s="7">
        <v>2103</v>
      </c>
      <c r="G11" s="7">
        <v>4643</v>
      </c>
      <c r="H11" s="7">
        <v>970</v>
      </c>
      <c r="I11" s="7">
        <v>2422</v>
      </c>
      <c r="J11" s="7">
        <v>726</v>
      </c>
      <c r="K11" s="7">
        <v>25590</v>
      </c>
      <c r="L11" s="7">
        <v>3380</v>
      </c>
      <c r="M11" s="7">
        <v>5696</v>
      </c>
      <c r="N11" s="7">
        <v>6625</v>
      </c>
      <c r="O11" s="7">
        <v>1116</v>
      </c>
      <c r="P11" s="7">
        <v>6250</v>
      </c>
      <c r="Q11" s="7">
        <v>843</v>
      </c>
      <c r="R11" s="7">
        <v>439</v>
      </c>
      <c r="S11" s="7">
        <v>612</v>
      </c>
      <c r="T11" s="7">
        <v>1902</v>
      </c>
      <c r="U11" s="7">
        <v>1441</v>
      </c>
      <c r="V11" s="7">
        <v>139</v>
      </c>
      <c r="W11" s="7">
        <v>225</v>
      </c>
      <c r="X11" s="7">
        <v>249</v>
      </c>
      <c r="Y11" s="7">
        <v>73</v>
      </c>
      <c r="Z11" s="7">
        <v>186</v>
      </c>
      <c r="AA11" s="7">
        <v>50</v>
      </c>
      <c r="AB11" s="7">
        <v>891</v>
      </c>
      <c r="AC11" s="7">
        <v>607</v>
      </c>
      <c r="AD11" s="7"/>
      <c r="AE11" s="7"/>
      <c r="AF11" s="7">
        <v>18</v>
      </c>
      <c r="AG11" s="7"/>
      <c r="AH11" s="7">
        <v>83</v>
      </c>
      <c r="AI11" s="7">
        <v>42</v>
      </c>
    </row>
    <row r="12" spans="1:35" x14ac:dyDescent="0.35">
      <c r="A12" s="8" t="s">
        <v>205</v>
      </c>
      <c r="B12" s="7">
        <v>949</v>
      </c>
      <c r="C12" s="7">
        <v>8108</v>
      </c>
      <c r="D12" s="7">
        <v>5040</v>
      </c>
      <c r="E12" s="7">
        <v>2317</v>
      </c>
      <c r="F12" s="7">
        <v>892</v>
      </c>
      <c r="G12" s="7">
        <v>3055</v>
      </c>
      <c r="H12" s="7">
        <v>298</v>
      </c>
      <c r="I12" s="7">
        <v>6189</v>
      </c>
      <c r="J12" s="7">
        <v>708</v>
      </c>
      <c r="K12" s="7">
        <v>933</v>
      </c>
      <c r="L12" s="7">
        <v>270526</v>
      </c>
      <c r="M12" s="7">
        <v>76296</v>
      </c>
      <c r="N12" s="7">
        <v>48201</v>
      </c>
      <c r="O12" s="7">
        <v>3861</v>
      </c>
      <c r="P12" s="7">
        <v>16879</v>
      </c>
      <c r="Q12" s="7">
        <v>22916</v>
      </c>
      <c r="R12" s="7">
        <v>1212</v>
      </c>
      <c r="S12" s="7">
        <v>1137</v>
      </c>
      <c r="T12" s="7">
        <v>1505</v>
      </c>
      <c r="U12" s="7">
        <v>2270</v>
      </c>
      <c r="V12" s="7">
        <v>355</v>
      </c>
      <c r="W12" s="7">
        <v>835</v>
      </c>
      <c r="X12" s="7">
        <v>688</v>
      </c>
      <c r="Y12" s="7">
        <v>127</v>
      </c>
      <c r="Z12" s="7">
        <v>618</v>
      </c>
      <c r="AA12" s="7">
        <v>35</v>
      </c>
      <c r="AB12" s="7">
        <v>2443</v>
      </c>
      <c r="AC12" s="7">
        <v>112</v>
      </c>
      <c r="AD12" s="7">
        <v>135</v>
      </c>
      <c r="AE12" s="7">
        <v>39</v>
      </c>
      <c r="AF12" s="7">
        <v>616</v>
      </c>
      <c r="AG12" s="7">
        <v>242</v>
      </c>
      <c r="AH12" s="7">
        <v>122</v>
      </c>
      <c r="AI12" s="7">
        <v>862</v>
      </c>
    </row>
    <row r="13" spans="1:35" x14ac:dyDescent="0.35">
      <c r="A13" s="8" t="s">
        <v>212</v>
      </c>
      <c r="B13" s="7">
        <v>3728</v>
      </c>
      <c r="C13" s="7">
        <v>19801</v>
      </c>
      <c r="D13" s="7">
        <v>12287</v>
      </c>
      <c r="E13" s="7">
        <v>5251</v>
      </c>
      <c r="F13" s="7">
        <v>3227</v>
      </c>
      <c r="G13" s="7">
        <v>10468</v>
      </c>
      <c r="H13" s="7">
        <v>2515</v>
      </c>
      <c r="I13" s="7">
        <v>15702</v>
      </c>
      <c r="J13" s="7">
        <v>1562</v>
      </c>
      <c r="K13" s="7">
        <v>3414</v>
      </c>
      <c r="L13" s="7">
        <v>339634</v>
      </c>
      <c r="M13" s="7">
        <v>1730127</v>
      </c>
      <c r="N13" s="7">
        <v>123205</v>
      </c>
      <c r="O13" s="7">
        <v>8554</v>
      </c>
      <c r="P13" s="7">
        <v>32723</v>
      </c>
      <c r="Q13" s="7">
        <v>71956</v>
      </c>
      <c r="R13" s="7">
        <v>3179</v>
      </c>
      <c r="S13" s="7">
        <v>1468</v>
      </c>
      <c r="T13" s="7">
        <v>787</v>
      </c>
      <c r="U13" s="7">
        <v>4691</v>
      </c>
      <c r="V13" s="7">
        <v>1120</v>
      </c>
      <c r="W13" s="7">
        <v>1865</v>
      </c>
      <c r="X13" s="7">
        <v>3689</v>
      </c>
      <c r="Y13" s="7">
        <v>611</v>
      </c>
      <c r="Z13" s="7">
        <v>1095</v>
      </c>
      <c r="AA13" s="7">
        <v>1068</v>
      </c>
      <c r="AB13" s="7">
        <v>3129</v>
      </c>
      <c r="AC13" s="7">
        <v>900</v>
      </c>
      <c r="AD13" s="7">
        <v>448</v>
      </c>
      <c r="AE13" s="7">
        <v>68</v>
      </c>
      <c r="AF13" s="7">
        <v>1101</v>
      </c>
      <c r="AG13" s="7">
        <v>294</v>
      </c>
      <c r="AH13" s="7">
        <v>506</v>
      </c>
      <c r="AI13" s="7">
        <v>1752</v>
      </c>
    </row>
    <row r="14" spans="1:35" x14ac:dyDescent="0.35">
      <c r="A14" s="8" t="s">
        <v>240</v>
      </c>
      <c r="B14" s="7">
        <v>2733</v>
      </c>
      <c r="C14" s="7">
        <v>6751</v>
      </c>
      <c r="D14" s="7">
        <v>5212</v>
      </c>
      <c r="E14" s="7">
        <v>8893</v>
      </c>
      <c r="F14" s="7">
        <v>11217</v>
      </c>
      <c r="G14" s="7">
        <v>12127</v>
      </c>
      <c r="H14" s="7">
        <v>2183</v>
      </c>
      <c r="I14" s="7">
        <v>12986</v>
      </c>
      <c r="J14" s="7">
        <v>2784</v>
      </c>
      <c r="K14" s="7">
        <v>12124</v>
      </c>
      <c r="L14" s="7">
        <v>188939</v>
      </c>
      <c r="M14" s="7">
        <v>173999</v>
      </c>
      <c r="N14" s="7">
        <v>986251</v>
      </c>
      <c r="O14" s="7">
        <v>49606</v>
      </c>
      <c r="P14" s="7">
        <v>63399</v>
      </c>
      <c r="Q14" s="7">
        <v>65752</v>
      </c>
      <c r="R14" s="7">
        <v>6639</v>
      </c>
      <c r="S14" s="7">
        <v>2437</v>
      </c>
      <c r="T14" s="7">
        <v>3353</v>
      </c>
      <c r="U14" s="7">
        <v>12226</v>
      </c>
      <c r="V14" s="7">
        <v>29980</v>
      </c>
      <c r="W14" s="7">
        <v>7190</v>
      </c>
      <c r="X14" s="7">
        <v>14121</v>
      </c>
      <c r="Y14" s="7">
        <v>551</v>
      </c>
      <c r="Z14" s="7">
        <v>1009</v>
      </c>
      <c r="AA14" s="7">
        <v>3260</v>
      </c>
      <c r="AB14" s="7">
        <v>4485</v>
      </c>
      <c r="AC14" s="7">
        <v>1163</v>
      </c>
      <c r="AD14" s="7">
        <v>649</v>
      </c>
      <c r="AE14" s="7">
        <v>391</v>
      </c>
      <c r="AF14" s="7">
        <v>2105</v>
      </c>
      <c r="AG14" s="7">
        <v>848</v>
      </c>
      <c r="AH14" s="7">
        <v>2479</v>
      </c>
      <c r="AI14" s="7">
        <v>5984</v>
      </c>
    </row>
    <row r="15" spans="1:35" x14ac:dyDescent="0.35">
      <c r="A15" s="8" t="s">
        <v>611</v>
      </c>
      <c r="B15" s="7">
        <v>808</v>
      </c>
      <c r="C15" s="7">
        <v>3639</v>
      </c>
      <c r="D15" s="7">
        <v>1322</v>
      </c>
      <c r="E15" s="7">
        <v>3505</v>
      </c>
      <c r="F15" s="7">
        <v>1931</v>
      </c>
      <c r="G15" s="7">
        <v>4546</v>
      </c>
      <c r="H15" s="7">
        <v>1172</v>
      </c>
      <c r="I15" s="7">
        <v>4361</v>
      </c>
      <c r="J15" s="7">
        <v>1104</v>
      </c>
      <c r="K15" s="7">
        <v>2028</v>
      </c>
      <c r="L15" s="7">
        <v>15291</v>
      </c>
      <c r="M15" s="7">
        <v>24533</v>
      </c>
      <c r="N15" s="7">
        <v>59708</v>
      </c>
      <c r="O15" s="7">
        <v>105728</v>
      </c>
      <c r="P15" s="7">
        <v>15873</v>
      </c>
      <c r="Q15" s="7">
        <v>9332</v>
      </c>
      <c r="R15" s="7">
        <v>1892</v>
      </c>
      <c r="S15" s="7">
        <v>1847</v>
      </c>
      <c r="T15" s="7">
        <v>2625</v>
      </c>
      <c r="U15" s="7">
        <v>2654</v>
      </c>
      <c r="V15" s="7">
        <v>2289</v>
      </c>
      <c r="W15" s="7">
        <v>1866</v>
      </c>
      <c r="X15" s="7">
        <v>4158</v>
      </c>
      <c r="Y15" s="7">
        <v>587</v>
      </c>
      <c r="Z15" s="7">
        <v>279</v>
      </c>
      <c r="AA15" s="7">
        <v>1033</v>
      </c>
      <c r="AB15" s="7">
        <v>1372</v>
      </c>
      <c r="AC15" s="7">
        <v>877</v>
      </c>
      <c r="AD15" s="7">
        <v>68</v>
      </c>
      <c r="AE15" s="7">
        <v>77</v>
      </c>
      <c r="AF15" s="7">
        <v>1271</v>
      </c>
      <c r="AG15" s="7">
        <v>452</v>
      </c>
      <c r="AH15" s="7">
        <v>537</v>
      </c>
      <c r="AI15" s="7">
        <v>2427</v>
      </c>
    </row>
    <row r="16" spans="1:35" x14ac:dyDescent="0.35">
      <c r="A16" s="8" t="s">
        <v>282</v>
      </c>
      <c r="B16" s="7">
        <v>1799</v>
      </c>
      <c r="C16" s="7">
        <v>4664</v>
      </c>
      <c r="D16" s="7">
        <v>2377</v>
      </c>
      <c r="E16" s="7">
        <v>4530</v>
      </c>
      <c r="F16" s="7">
        <v>1577</v>
      </c>
      <c r="G16" s="7">
        <v>7635</v>
      </c>
      <c r="H16" s="7">
        <v>1040</v>
      </c>
      <c r="I16" s="7">
        <v>5596</v>
      </c>
      <c r="J16" s="7">
        <v>1123</v>
      </c>
      <c r="K16" s="7">
        <v>6453</v>
      </c>
      <c r="L16" s="7">
        <v>31387</v>
      </c>
      <c r="M16" s="7">
        <v>36330</v>
      </c>
      <c r="N16" s="7">
        <v>47761</v>
      </c>
      <c r="O16" s="7">
        <v>5859</v>
      </c>
      <c r="P16" s="7">
        <v>1136396</v>
      </c>
      <c r="Q16" s="7">
        <v>11700</v>
      </c>
      <c r="R16" s="7">
        <v>26708</v>
      </c>
      <c r="S16" s="7">
        <v>3982</v>
      </c>
      <c r="T16" s="7">
        <v>6175</v>
      </c>
      <c r="U16" s="7">
        <v>4667</v>
      </c>
      <c r="V16" s="7">
        <v>9766</v>
      </c>
      <c r="W16" s="7">
        <v>9094</v>
      </c>
      <c r="X16" s="7">
        <v>22712</v>
      </c>
      <c r="Y16" s="7">
        <v>3171</v>
      </c>
      <c r="Z16" s="7">
        <v>2487</v>
      </c>
      <c r="AA16" s="7">
        <v>1547</v>
      </c>
      <c r="AB16" s="7">
        <v>4764</v>
      </c>
      <c r="AC16" s="7">
        <v>1339</v>
      </c>
      <c r="AD16" s="7">
        <v>236</v>
      </c>
      <c r="AE16" s="7">
        <v>363</v>
      </c>
      <c r="AF16" s="7">
        <v>2084</v>
      </c>
      <c r="AG16" s="7">
        <v>1104</v>
      </c>
      <c r="AH16" s="7">
        <v>4010</v>
      </c>
      <c r="AI16" s="7">
        <v>7956</v>
      </c>
    </row>
    <row r="17" spans="1:35" x14ac:dyDescent="0.35">
      <c r="A17" s="8" t="s">
        <v>321</v>
      </c>
      <c r="B17" s="7">
        <v>774</v>
      </c>
      <c r="C17" s="7">
        <v>5582</v>
      </c>
      <c r="D17" s="7">
        <v>2469</v>
      </c>
      <c r="E17" s="7">
        <v>1339</v>
      </c>
      <c r="F17" s="7">
        <v>1047</v>
      </c>
      <c r="G17" s="7">
        <v>5788</v>
      </c>
      <c r="H17" s="7">
        <v>578</v>
      </c>
      <c r="I17" s="7">
        <v>11927</v>
      </c>
      <c r="J17" s="7">
        <v>1354</v>
      </c>
      <c r="K17" s="7">
        <v>719</v>
      </c>
      <c r="L17" s="7">
        <v>103105</v>
      </c>
      <c r="M17" s="7">
        <v>52798</v>
      </c>
      <c r="N17" s="7">
        <v>29622</v>
      </c>
      <c r="O17" s="7">
        <v>3894</v>
      </c>
      <c r="P17" s="7">
        <v>9152</v>
      </c>
      <c r="Q17" s="7">
        <v>238136</v>
      </c>
      <c r="R17" s="7">
        <v>476</v>
      </c>
      <c r="S17" s="7">
        <v>444</v>
      </c>
      <c r="T17" s="7">
        <v>333</v>
      </c>
      <c r="U17" s="7">
        <v>1002</v>
      </c>
      <c r="V17" s="7">
        <v>268</v>
      </c>
      <c r="W17" s="7">
        <v>521</v>
      </c>
      <c r="X17" s="7">
        <v>703</v>
      </c>
      <c r="Y17" s="7">
        <v>6</v>
      </c>
      <c r="Z17" s="7">
        <v>474</v>
      </c>
      <c r="AA17" s="7">
        <v>292</v>
      </c>
      <c r="AB17" s="7">
        <v>916</v>
      </c>
      <c r="AC17" s="7">
        <v>162</v>
      </c>
      <c r="AD17" s="7">
        <v>48</v>
      </c>
      <c r="AE17" s="7"/>
      <c r="AF17" s="7">
        <v>269</v>
      </c>
      <c r="AG17" s="7">
        <v>18</v>
      </c>
      <c r="AH17" s="7">
        <v>85</v>
      </c>
      <c r="AI17" s="7">
        <v>112</v>
      </c>
    </row>
    <row r="18" spans="1:35" x14ac:dyDescent="0.35">
      <c r="A18" s="8" t="s">
        <v>330</v>
      </c>
      <c r="B18" s="7">
        <v>144</v>
      </c>
      <c r="C18" s="7">
        <v>746</v>
      </c>
      <c r="D18" s="7">
        <v>190</v>
      </c>
      <c r="E18" s="7">
        <v>222</v>
      </c>
      <c r="F18" s="7">
        <v>35</v>
      </c>
      <c r="G18" s="7">
        <v>889</v>
      </c>
      <c r="H18" s="7">
        <v>5</v>
      </c>
      <c r="I18" s="7">
        <v>1275</v>
      </c>
      <c r="J18" s="7">
        <v>100</v>
      </c>
      <c r="K18" s="7">
        <v>93</v>
      </c>
      <c r="L18" s="7">
        <v>2897</v>
      </c>
      <c r="M18" s="7">
        <v>2879</v>
      </c>
      <c r="N18" s="7">
        <v>2469</v>
      </c>
      <c r="O18" s="7">
        <v>689</v>
      </c>
      <c r="P18" s="7">
        <v>20182</v>
      </c>
      <c r="Q18" s="7">
        <v>750</v>
      </c>
      <c r="R18" s="7">
        <v>116927</v>
      </c>
      <c r="S18" s="7">
        <v>3713</v>
      </c>
      <c r="T18" s="7">
        <v>6336</v>
      </c>
      <c r="U18" s="7">
        <v>260</v>
      </c>
      <c r="V18" s="7">
        <v>80</v>
      </c>
      <c r="W18" s="7">
        <v>79</v>
      </c>
      <c r="X18" s="7">
        <v>302</v>
      </c>
      <c r="Y18" s="7"/>
      <c r="Z18" s="7">
        <v>226</v>
      </c>
      <c r="AA18" s="7">
        <v>820</v>
      </c>
      <c r="AB18" s="7">
        <v>438</v>
      </c>
      <c r="AC18" s="7">
        <v>334</v>
      </c>
      <c r="AD18" s="7">
        <v>16</v>
      </c>
      <c r="AE18" s="7">
        <v>160</v>
      </c>
      <c r="AF18" s="7">
        <v>117</v>
      </c>
      <c r="AG18" s="7">
        <v>22</v>
      </c>
      <c r="AH18" s="7">
        <v>108</v>
      </c>
      <c r="AI18" s="7">
        <v>245</v>
      </c>
    </row>
    <row r="19" spans="1:35" x14ac:dyDescent="0.35">
      <c r="A19" s="8" t="s">
        <v>340</v>
      </c>
      <c r="B19" s="7">
        <v>304</v>
      </c>
      <c r="C19" s="7">
        <v>687</v>
      </c>
      <c r="D19" s="7">
        <v>700</v>
      </c>
      <c r="E19" s="7">
        <v>678</v>
      </c>
      <c r="F19" s="7">
        <v>124</v>
      </c>
      <c r="G19" s="7">
        <v>629</v>
      </c>
      <c r="H19" s="7">
        <v>23</v>
      </c>
      <c r="I19" s="7">
        <v>302</v>
      </c>
      <c r="J19" s="7">
        <v>644</v>
      </c>
      <c r="K19" s="7">
        <v>1253</v>
      </c>
      <c r="L19" s="7">
        <v>3969</v>
      </c>
      <c r="M19" s="7">
        <v>4348</v>
      </c>
      <c r="N19" s="7">
        <v>3019</v>
      </c>
      <c r="O19" s="7">
        <v>2963</v>
      </c>
      <c r="P19" s="7">
        <v>7896</v>
      </c>
      <c r="Q19" s="7">
        <v>1213</v>
      </c>
      <c r="R19" s="7">
        <v>11620</v>
      </c>
      <c r="S19" s="7">
        <v>140018</v>
      </c>
      <c r="T19" s="7">
        <v>3487</v>
      </c>
      <c r="U19" s="7">
        <v>2700</v>
      </c>
      <c r="V19" s="7">
        <v>3883</v>
      </c>
      <c r="W19" s="7">
        <v>2037</v>
      </c>
      <c r="X19" s="7">
        <v>7658</v>
      </c>
      <c r="Y19" s="7">
        <v>671</v>
      </c>
      <c r="Z19" s="7">
        <v>362</v>
      </c>
      <c r="AA19" s="7">
        <v>532</v>
      </c>
      <c r="AB19" s="7">
        <v>4561</v>
      </c>
      <c r="AC19" s="7">
        <v>238</v>
      </c>
      <c r="AD19" s="7">
        <v>2</v>
      </c>
      <c r="AE19" s="7">
        <v>332</v>
      </c>
      <c r="AF19" s="7">
        <v>146</v>
      </c>
      <c r="AG19" s="7">
        <v>15</v>
      </c>
      <c r="AH19" s="7">
        <v>355</v>
      </c>
      <c r="AI19" s="7">
        <v>2067</v>
      </c>
    </row>
    <row r="20" spans="1:35" x14ac:dyDescent="0.35">
      <c r="A20" s="8" t="s">
        <v>351</v>
      </c>
      <c r="B20" s="7">
        <v>26</v>
      </c>
      <c r="C20" s="7">
        <v>842</v>
      </c>
      <c r="D20" s="7">
        <v>335</v>
      </c>
      <c r="E20" s="7">
        <v>311</v>
      </c>
      <c r="F20" s="7">
        <v>83</v>
      </c>
      <c r="G20" s="7">
        <v>463</v>
      </c>
      <c r="H20" s="7">
        <v>50</v>
      </c>
      <c r="I20" s="7">
        <v>345</v>
      </c>
      <c r="J20" s="7">
        <v>395</v>
      </c>
      <c r="K20" s="7">
        <v>3124</v>
      </c>
      <c r="L20" s="7">
        <v>5457</v>
      </c>
      <c r="M20" s="7">
        <v>3562</v>
      </c>
      <c r="N20" s="7">
        <v>2783</v>
      </c>
      <c r="O20" s="7">
        <v>3611</v>
      </c>
      <c r="P20" s="7">
        <v>14886</v>
      </c>
      <c r="Q20" s="7">
        <v>748</v>
      </c>
      <c r="R20" s="7">
        <v>14451</v>
      </c>
      <c r="S20" s="7">
        <v>3556</v>
      </c>
      <c r="T20" s="7">
        <v>107907</v>
      </c>
      <c r="U20" s="7">
        <v>1423</v>
      </c>
      <c r="V20" s="7">
        <v>3591</v>
      </c>
      <c r="W20" s="7">
        <v>1600</v>
      </c>
      <c r="X20" s="7">
        <v>12582</v>
      </c>
      <c r="Y20" s="7">
        <v>2406</v>
      </c>
      <c r="Z20" s="7">
        <v>567</v>
      </c>
      <c r="AA20" s="7">
        <v>254</v>
      </c>
      <c r="AB20" s="7">
        <v>8903</v>
      </c>
      <c r="AC20" s="7">
        <v>380</v>
      </c>
      <c r="AD20" s="7">
        <v>39</v>
      </c>
      <c r="AE20" s="7">
        <v>152</v>
      </c>
      <c r="AF20" s="7">
        <v>1229</v>
      </c>
      <c r="AG20" s="7">
        <v>138</v>
      </c>
      <c r="AH20" s="7">
        <v>2010</v>
      </c>
      <c r="AI20" s="7">
        <v>5311</v>
      </c>
    </row>
    <row r="21" spans="1:35" x14ac:dyDescent="0.35">
      <c r="A21" s="8" t="s">
        <v>374</v>
      </c>
      <c r="B21" s="7">
        <v>122</v>
      </c>
      <c r="C21" s="7">
        <v>1671</v>
      </c>
      <c r="D21" s="7">
        <v>671</v>
      </c>
      <c r="E21" s="7">
        <v>987</v>
      </c>
      <c r="F21" s="7"/>
      <c r="G21" s="7">
        <v>188</v>
      </c>
      <c r="H21" s="7">
        <v>55</v>
      </c>
      <c r="I21" s="7">
        <v>875</v>
      </c>
      <c r="J21" s="7">
        <v>220</v>
      </c>
      <c r="K21" s="7">
        <v>932</v>
      </c>
      <c r="L21" s="7">
        <v>4620</v>
      </c>
      <c r="M21" s="7">
        <v>3473</v>
      </c>
      <c r="N21" s="7">
        <v>6393</v>
      </c>
      <c r="O21" s="7">
        <v>1454</v>
      </c>
      <c r="P21" s="7">
        <v>3692</v>
      </c>
      <c r="Q21" s="7">
        <v>1792</v>
      </c>
      <c r="R21" s="7">
        <v>206</v>
      </c>
      <c r="S21" s="7">
        <v>344</v>
      </c>
      <c r="T21" s="7">
        <v>1063</v>
      </c>
      <c r="U21" s="7">
        <v>102042</v>
      </c>
      <c r="V21" s="7">
        <v>1523</v>
      </c>
      <c r="W21" s="7">
        <v>527</v>
      </c>
      <c r="X21" s="7">
        <v>996</v>
      </c>
      <c r="Y21" s="7">
        <v>66</v>
      </c>
      <c r="Z21" s="7">
        <v>64</v>
      </c>
      <c r="AA21" s="7">
        <v>99</v>
      </c>
      <c r="AB21" s="7">
        <v>531</v>
      </c>
      <c r="AC21" s="7">
        <v>137</v>
      </c>
      <c r="AD21" s="7">
        <v>25</v>
      </c>
      <c r="AE21" s="7">
        <v>24</v>
      </c>
      <c r="AF21" s="7">
        <v>45</v>
      </c>
      <c r="AG21" s="7">
        <v>111</v>
      </c>
      <c r="AH21" s="7">
        <v>52</v>
      </c>
      <c r="AI21" s="7">
        <v>190</v>
      </c>
    </row>
    <row r="22" spans="1:35" x14ac:dyDescent="0.35">
      <c r="A22" s="8" t="s">
        <v>389</v>
      </c>
      <c r="B22" s="7">
        <v>104</v>
      </c>
      <c r="C22" s="7">
        <v>2472</v>
      </c>
      <c r="D22" s="7">
        <v>399</v>
      </c>
      <c r="E22" s="7">
        <v>345</v>
      </c>
      <c r="F22" s="7">
        <v>438</v>
      </c>
      <c r="G22" s="7">
        <v>617</v>
      </c>
      <c r="H22" s="7">
        <v>136</v>
      </c>
      <c r="I22" s="7">
        <v>1344</v>
      </c>
      <c r="J22" s="7">
        <v>102</v>
      </c>
      <c r="K22" s="7">
        <v>30</v>
      </c>
      <c r="L22" s="7">
        <v>1530</v>
      </c>
      <c r="M22" s="7">
        <v>3791</v>
      </c>
      <c r="N22" s="7">
        <v>17670</v>
      </c>
      <c r="O22" s="7">
        <v>1179</v>
      </c>
      <c r="P22" s="7">
        <v>8786</v>
      </c>
      <c r="Q22" s="7">
        <v>915</v>
      </c>
      <c r="R22" s="7">
        <v>145</v>
      </c>
      <c r="S22" s="7">
        <v>2435</v>
      </c>
      <c r="T22" s="7">
        <v>7578</v>
      </c>
      <c r="U22" s="7">
        <v>2927</v>
      </c>
      <c r="V22" s="7">
        <v>50469</v>
      </c>
      <c r="W22" s="7">
        <v>12807</v>
      </c>
      <c r="X22" s="7">
        <v>1711</v>
      </c>
      <c r="Y22" s="7">
        <v>420</v>
      </c>
      <c r="Z22" s="7">
        <v>364</v>
      </c>
      <c r="AA22" s="7">
        <v>459</v>
      </c>
      <c r="AB22" s="7">
        <v>1397</v>
      </c>
      <c r="AC22" s="7">
        <v>73</v>
      </c>
      <c r="AD22" s="7">
        <v>33</v>
      </c>
      <c r="AE22" s="7">
        <v>75</v>
      </c>
      <c r="AF22" s="7">
        <v>205</v>
      </c>
      <c r="AG22" s="7">
        <v>56</v>
      </c>
      <c r="AH22" s="7">
        <v>33</v>
      </c>
      <c r="AI22" s="7">
        <v>181</v>
      </c>
    </row>
    <row r="23" spans="1:35" x14ac:dyDescent="0.35">
      <c r="A23" s="8" t="s">
        <v>404</v>
      </c>
      <c r="B23" s="7">
        <v>223</v>
      </c>
      <c r="C23" s="7">
        <v>1713</v>
      </c>
      <c r="D23" s="7">
        <v>281</v>
      </c>
      <c r="E23" s="7">
        <v>345</v>
      </c>
      <c r="F23" s="7">
        <v>279</v>
      </c>
      <c r="G23" s="7">
        <v>541</v>
      </c>
      <c r="H23" s="7">
        <v>21</v>
      </c>
      <c r="I23" s="7">
        <v>229</v>
      </c>
      <c r="J23" s="7">
        <v>79</v>
      </c>
      <c r="K23" s="7">
        <v>196</v>
      </c>
      <c r="L23" s="7">
        <v>1237</v>
      </c>
      <c r="M23" s="7">
        <v>3106</v>
      </c>
      <c r="N23" s="7">
        <v>4111</v>
      </c>
      <c r="O23" s="7">
        <v>694</v>
      </c>
      <c r="P23" s="7">
        <v>10768</v>
      </c>
      <c r="Q23" s="7">
        <v>722</v>
      </c>
      <c r="R23" s="7">
        <v>362</v>
      </c>
      <c r="S23" s="7">
        <v>1477</v>
      </c>
      <c r="T23" s="7">
        <v>1699</v>
      </c>
      <c r="U23" s="7">
        <v>612</v>
      </c>
      <c r="V23" s="7">
        <v>15674</v>
      </c>
      <c r="W23" s="7">
        <v>139050</v>
      </c>
      <c r="X23" s="7">
        <v>9904</v>
      </c>
      <c r="Y23" s="7">
        <v>630</v>
      </c>
      <c r="Z23" s="7">
        <v>173</v>
      </c>
      <c r="AA23" s="7">
        <v>202</v>
      </c>
      <c r="AB23" s="7">
        <v>2275</v>
      </c>
      <c r="AC23" s="7">
        <v>58</v>
      </c>
      <c r="AD23" s="7"/>
      <c r="AE23" s="7">
        <v>611</v>
      </c>
      <c r="AF23" s="7">
        <v>13</v>
      </c>
      <c r="AG23" s="7">
        <v>73</v>
      </c>
      <c r="AH23" s="7">
        <v>152</v>
      </c>
      <c r="AI23" s="7">
        <v>218</v>
      </c>
    </row>
    <row r="24" spans="1:35" x14ac:dyDescent="0.35">
      <c r="A24" s="8" t="s">
        <v>418</v>
      </c>
      <c r="B24" s="7">
        <v>270</v>
      </c>
      <c r="C24" s="7">
        <v>2009</v>
      </c>
      <c r="D24" s="7">
        <v>638</v>
      </c>
      <c r="E24" s="7">
        <v>436</v>
      </c>
      <c r="F24" s="7">
        <v>521</v>
      </c>
      <c r="G24" s="7">
        <v>1364</v>
      </c>
      <c r="H24" s="7">
        <v>86</v>
      </c>
      <c r="I24" s="7">
        <v>1366</v>
      </c>
      <c r="J24" s="7">
        <v>224</v>
      </c>
      <c r="K24" s="7">
        <v>270</v>
      </c>
      <c r="L24" s="7">
        <v>3475</v>
      </c>
      <c r="M24" s="7">
        <v>4293</v>
      </c>
      <c r="N24" s="7">
        <v>9142</v>
      </c>
      <c r="O24" s="7">
        <v>1835</v>
      </c>
      <c r="P24" s="7">
        <v>18237</v>
      </c>
      <c r="Q24" s="7">
        <v>917</v>
      </c>
      <c r="R24" s="7">
        <v>314</v>
      </c>
      <c r="S24" s="7">
        <v>1790</v>
      </c>
      <c r="T24" s="7">
        <v>5972</v>
      </c>
      <c r="U24" s="7">
        <v>741</v>
      </c>
      <c r="V24" s="7">
        <v>1602</v>
      </c>
      <c r="W24" s="7">
        <v>7962</v>
      </c>
      <c r="X24" s="7">
        <v>52012</v>
      </c>
      <c r="Y24" s="7">
        <v>3994</v>
      </c>
      <c r="Z24" s="7">
        <v>824</v>
      </c>
      <c r="AA24" s="7">
        <v>2334</v>
      </c>
      <c r="AB24" s="7">
        <v>25015</v>
      </c>
      <c r="AC24" s="7">
        <v>1387</v>
      </c>
      <c r="AD24" s="7">
        <v>182</v>
      </c>
      <c r="AE24" s="7">
        <v>4624</v>
      </c>
      <c r="AF24" s="7">
        <v>37</v>
      </c>
      <c r="AG24" s="7">
        <v>53</v>
      </c>
      <c r="AH24" s="7">
        <v>92</v>
      </c>
      <c r="AI24" s="7">
        <v>378</v>
      </c>
    </row>
    <row r="25" spans="1:35" x14ac:dyDescent="0.35">
      <c r="A25" s="8" t="s">
        <v>429</v>
      </c>
      <c r="B25" s="7">
        <v>26</v>
      </c>
      <c r="C25" s="7">
        <v>237</v>
      </c>
      <c r="D25" s="7">
        <v>29</v>
      </c>
      <c r="E25" s="7">
        <v>45</v>
      </c>
      <c r="F25" s="7">
        <v>10</v>
      </c>
      <c r="G25" s="7">
        <v>56</v>
      </c>
      <c r="H25" s="7">
        <v>6</v>
      </c>
      <c r="I25" s="7">
        <v>127</v>
      </c>
      <c r="J25" s="7">
        <v>7</v>
      </c>
      <c r="K25" s="7">
        <v>129</v>
      </c>
      <c r="L25" s="7">
        <v>453</v>
      </c>
      <c r="M25" s="7">
        <v>695</v>
      </c>
      <c r="N25" s="7">
        <v>1536</v>
      </c>
      <c r="O25" s="7">
        <v>651</v>
      </c>
      <c r="P25" s="7">
        <v>2611</v>
      </c>
      <c r="Q25" s="7">
        <v>46</v>
      </c>
      <c r="R25" s="7">
        <v>49</v>
      </c>
      <c r="S25" s="7">
        <v>174</v>
      </c>
      <c r="T25" s="7">
        <v>1272</v>
      </c>
      <c r="U25" s="7">
        <v>21</v>
      </c>
      <c r="V25" s="7">
        <v>119</v>
      </c>
      <c r="W25" s="7">
        <v>541</v>
      </c>
      <c r="X25" s="7">
        <v>4034</v>
      </c>
      <c r="Y25" s="7">
        <v>8119</v>
      </c>
      <c r="Z25" s="7">
        <v>105</v>
      </c>
      <c r="AA25" s="7">
        <v>1388</v>
      </c>
      <c r="AB25" s="7">
        <v>7906</v>
      </c>
      <c r="AC25" s="7">
        <v>462</v>
      </c>
      <c r="AD25" s="7">
        <v>36</v>
      </c>
      <c r="AE25" s="7">
        <v>435</v>
      </c>
      <c r="AF25" s="7"/>
      <c r="AG25" s="7"/>
      <c r="AH25" s="7">
        <v>52</v>
      </c>
      <c r="AI25" s="7">
        <v>130</v>
      </c>
    </row>
    <row r="26" spans="1:35" x14ac:dyDescent="0.35">
      <c r="A26" s="8" t="s">
        <v>435</v>
      </c>
      <c r="B26" s="7">
        <v>31</v>
      </c>
      <c r="C26" s="7">
        <v>545</v>
      </c>
      <c r="D26" s="7">
        <v>18</v>
      </c>
      <c r="E26" s="7">
        <v>55</v>
      </c>
      <c r="F26" s="7">
        <v>17</v>
      </c>
      <c r="G26" s="7">
        <v>136</v>
      </c>
      <c r="H26" s="7"/>
      <c r="I26" s="7">
        <v>21</v>
      </c>
      <c r="J26" s="7">
        <v>4</v>
      </c>
      <c r="K26" s="7">
        <v>425</v>
      </c>
      <c r="L26" s="7">
        <v>2596</v>
      </c>
      <c r="M26" s="7">
        <v>1856</v>
      </c>
      <c r="N26" s="7">
        <v>904</v>
      </c>
      <c r="O26" s="7">
        <v>277</v>
      </c>
      <c r="P26" s="7">
        <v>1699</v>
      </c>
      <c r="Q26" s="7">
        <v>216</v>
      </c>
      <c r="R26" s="7">
        <v>395</v>
      </c>
      <c r="S26" s="7">
        <v>139</v>
      </c>
      <c r="T26" s="7">
        <v>303</v>
      </c>
      <c r="U26" s="7">
        <v>169</v>
      </c>
      <c r="V26" s="7">
        <v>69</v>
      </c>
      <c r="W26" s="7">
        <v>226</v>
      </c>
      <c r="X26" s="7">
        <v>813</v>
      </c>
      <c r="Y26" s="7">
        <v>246</v>
      </c>
      <c r="Z26" s="7">
        <v>54282</v>
      </c>
      <c r="AA26" s="7">
        <v>2951</v>
      </c>
      <c r="AB26" s="7">
        <v>3384</v>
      </c>
      <c r="AC26" s="7">
        <v>361</v>
      </c>
      <c r="AD26" s="7">
        <v>5819</v>
      </c>
      <c r="AE26" s="7">
        <v>225</v>
      </c>
      <c r="AF26" s="7">
        <v>636</v>
      </c>
      <c r="AG26" s="7">
        <v>1824</v>
      </c>
      <c r="AH26" s="7">
        <v>1554</v>
      </c>
      <c r="AI26" s="7">
        <v>2904</v>
      </c>
    </row>
    <row r="27" spans="1:35" x14ac:dyDescent="0.35">
      <c r="A27" s="8" t="s">
        <v>451</v>
      </c>
      <c r="B27" s="7">
        <v>170</v>
      </c>
      <c r="C27" s="7">
        <v>972</v>
      </c>
      <c r="D27" s="7">
        <v>262</v>
      </c>
      <c r="E27" s="7">
        <v>105</v>
      </c>
      <c r="F27" s="7">
        <v>128</v>
      </c>
      <c r="G27" s="7">
        <v>129</v>
      </c>
      <c r="H27" s="7">
        <v>53</v>
      </c>
      <c r="I27" s="7">
        <v>74</v>
      </c>
      <c r="J27" s="7">
        <v>69</v>
      </c>
      <c r="K27" s="7">
        <v>95</v>
      </c>
      <c r="L27" s="7">
        <v>1033</v>
      </c>
      <c r="M27" s="7">
        <v>1513</v>
      </c>
      <c r="N27" s="7">
        <v>1114</v>
      </c>
      <c r="O27" s="7">
        <v>531</v>
      </c>
      <c r="P27" s="7">
        <v>1995</v>
      </c>
      <c r="Q27" s="7">
        <v>365</v>
      </c>
      <c r="R27" s="7">
        <v>713</v>
      </c>
      <c r="S27" s="7">
        <v>169</v>
      </c>
      <c r="T27" s="7">
        <v>319</v>
      </c>
      <c r="U27" s="7">
        <v>74</v>
      </c>
      <c r="V27" s="7">
        <v>340</v>
      </c>
      <c r="W27" s="7">
        <v>163</v>
      </c>
      <c r="X27" s="7">
        <v>3228</v>
      </c>
      <c r="Y27" s="7">
        <v>2140</v>
      </c>
      <c r="Z27" s="7">
        <v>3265</v>
      </c>
      <c r="AA27" s="7">
        <v>72710</v>
      </c>
      <c r="AB27" s="7">
        <v>15749</v>
      </c>
      <c r="AC27" s="7">
        <v>2301</v>
      </c>
      <c r="AD27" s="7">
        <v>3274</v>
      </c>
      <c r="AE27" s="7">
        <v>3150</v>
      </c>
      <c r="AF27" s="7">
        <v>189</v>
      </c>
      <c r="AG27" s="7">
        <v>392</v>
      </c>
      <c r="AH27" s="7">
        <v>243</v>
      </c>
      <c r="AI27" s="7">
        <v>653</v>
      </c>
    </row>
    <row r="28" spans="1:35" x14ac:dyDescent="0.35">
      <c r="A28" s="8" t="s">
        <v>465</v>
      </c>
      <c r="B28" s="7">
        <v>72</v>
      </c>
      <c r="C28" s="7">
        <v>529</v>
      </c>
      <c r="D28" s="7">
        <v>650</v>
      </c>
      <c r="E28" s="7">
        <v>434</v>
      </c>
      <c r="F28" s="7">
        <v>384</v>
      </c>
      <c r="G28" s="7">
        <v>864</v>
      </c>
      <c r="H28" s="7">
        <v>41</v>
      </c>
      <c r="I28" s="7">
        <v>267</v>
      </c>
      <c r="J28" s="7">
        <v>184</v>
      </c>
      <c r="K28" s="7">
        <v>877</v>
      </c>
      <c r="L28" s="7">
        <v>4428</v>
      </c>
      <c r="M28" s="7">
        <v>4636</v>
      </c>
      <c r="N28" s="7">
        <v>3063</v>
      </c>
      <c r="O28" s="7">
        <v>416</v>
      </c>
      <c r="P28" s="7">
        <v>4022</v>
      </c>
      <c r="Q28" s="7">
        <v>765</v>
      </c>
      <c r="R28" s="7">
        <v>607</v>
      </c>
      <c r="S28" s="7">
        <v>1188</v>
      </c>
      <c r="T28" s="7">
        <v>3535</v>
      </c>
      <c r="U28" s="7">
        <v>455</v>
      </c>
      <c r="V28" s="7">
        <v>679</v>
      </c>
      <c r="W28" s="7">
        <v>2527</v>
      </c>
      <c r="X28" s="7">
        <v>25914</v>
      </c>
      <c r="Y28" s="7">
        <v>7642</v>
      </c>
      <c r="Z28" s="7">
        <v>1756</v>
      </c>
      <c r="AA28" s="7">
        <v>12121</v>
      </c>
      <c r="AB28" s="7">
        <v>336908</v>
      </c>
      <c r="AC28" s="7">
        <v>12745</v>
      </c>
      <c r="AD28" s="7">
        <v>602</v>
      </c>
      <c r="AE28" s="7">
        <v>11033</v>
      </c>
      <c r="AF28" s="7">
        <v>2203</v>
      </c>
      <c r="AG28" s="7">
        <v>1972</v>
      </c>
      <c r="AH28" s="7">
        <v>4800</v>
      </c>
      <c r="AI28" s="7">
        <v>15162</v>
      </c>
    </row>
    <row r="29" spans="1:35" x14ac:dyDescent="0.35">
      <c r="A29" s="8" t="s">
        <v>490</v>
      </c>
      <c r="B29" s="7">
        <v>360</v>
      </c>
      <c r="C29" s="7">
        <v>418</v>
      </c>
      <c r="D29" s="7">
        <v>147</v>
      </c>
      <c r="E29" s="7">
        <v>591</v>
      </c>
      <c r="F29" s="7">
        <v>71</v>
      </c>
      <c r="G29" s="7">
        <v>77</v>
      </c>
      <c r="H29" s="7"/>
      <c r="I29" s="7">
        <v>237</v>
      </c>
      <c r="J29" s="7">
        <v>555</v>
      </c>
      <c r="K29" s="7">
        <v>1130</v>
      </c>
      <c r="L29" s="7">
        <v>1383</v>
      </c>
      <c r="M29" s="7">
        <v>1574</v>
      </c>
      <c r="N29" s="7">
        <v>1125</v>
      </c>
      <c r="O29" s="7">
        <v>509</v>
      </c>
      <c r="P29" s="7">
        <v>1855</v>
      </c>
      <c r="Q29" s="7">
        <v>134</v>
      </c>
      <c r="R29" s="7">
        <v>550</v>
      </c>
      <c r="S29" s="7">
        <v>333</v>
      </c>
      <c r="T29" s="7">
        <v>447</v>
      </c>
      <c r="U29" s="7">
        <v>219</v>
      </c>
      <c r="V29" s="7">
        <v>124</v>
      </c>
      <c r="W29" s="7">
        <v>519</v>
      </c>
      <c r="X29" s="7">
        <v>3651</v>
      </c>
      <c r="Y29" s="7">
        <v>635</v>
      </c>
      <c r="Z29" s="7">
        <v>1597</v>
      </c>
      <c r="AA29" s="7">
        <v>3423</v>
      </c>
      <c r="AB29" s="7">
        <v>24021</v>
      </c>
      <c r="AC29" s="7">
        <v>92317</v>
      </c>
      <c r="AD29" s="7">
        <v>382</v>
      </c>
      <c r="AE29" s="7">
        <v>1302</v>
      </c>
      <c r="AF29" s="7">
        <v>6548</v>
      </c>
      <c r="AG29" s="7">
        <v>3518</v>
      </c>
      <c r="AH29" s="7">
        <v>6549</v>
      </c>
      <c r="AI29" s="7">
        <v>7242</v>
      </c>
    </row>
    <row r="30" spans="1:35" x14ac:dyDescent="0.35">
      <c r="A30" s="8" t="s">
        <v>508</v>
      </c>
      <c r="B30" s="7">
        <v>173</v>
      </c>
      <c r="C30" s="7">
        <v>93</v>
      </c>
      <c r="D30" s="7">
        <v>27</v>
      </c>
      <c r="E30" s="7">
        <v>76</v>
      </c>
      <c r="F30" s="7">
        <v>114</v>
      </c>
      <c r="G30" s="7">
        <v>2</v>
      </c>
      <c r="H30" s="7">
        <v>37</v>
      </c>
      <c r="I30" s="7">
        <v>89</v>
      </c>
      <c r="J30" s="7"/>
      <c r="K30" s="7"/>
      <c r="L30" s="7">
        <v>533</v>
      </c>
      <c r="M30" s="7">
        <v>577</v>
      </c>
      <c r="N30" s="7">
        <v>206</v>
      </c>
      <c r="O30" s="7">
        <v>72</v>
      </c>
      <c r="P30" s="7">
        <v>454</v>
      </c>
      <c r="Q30" s="7">
        <v>213</v>
      </c>
      <c r="R30" s="7">
        <v>31</v>
      </c>
      <c r="S30" s="7">
        <v>118</v>
      </c>
      <c r="T30" s="7">
        <v>103</v>
      </c>
      <c r="U30" s="7">
        <v>64</v>
      </c>
      <c r="V30" s="7">
        <v>94</v>
      </c>
      <c r="W30" s="7">
        <v>35</v>
      </c>
      <c r="X30" s="7">
        <v>305</v>
      </c>
      <c r="Y30" s="7">
        <v>103</v>
      </c>
      <c r="Z30" s="7">
        <v>8651</v>
      </c>
      <c r="AA30" s="7">
        <v>5148</v>
      </c>
      <c r="AB30" s="7">
        <v>1483</v>
      </c>
      <c r="AC30" s="7">
        <v>342</v>
      </c>
      <c r="AD30" s="7">
        <v>26430</v>
      </c>
      <c r="AE30" s="7">
        <v>59</v>
      </c>
      <c r="AF30" s="7">
        <v>124</v>
      </c>
      <c r="AG30" s="7">
        <v>567</v>
      </c>
      <c r="AH30" s="7">
        <v>83</v>
      </c>
      <c r="AI30" s="7">
        <v>370</v>
      </c>
    </row>
    <row r="31" spans="1:35" x14ac:dyDescent="0.35">
      <c r="A31" s="8" t="s">
        <v>515</v>
      </c>
      <c r="B31" s="7">
        <v>32</v>
      </c>
      <c r="C31" s="7">
        <v>150</v>
      </c>
      <c r="D31" s="7">
        <v>56</v>
      </c>
      <c r="E31" s="7">
        <v>16</v>
      </c>
      <c r="F31" s="7">
        <v>43</v>
      </c>
      <c r="G31" s="7">
        <v>35</v>
      </c>
      <c r="H31" s="7">
        <v>101</v>
      </c>
      <c r="I31" s="7">
        <v>38</v>
      </c>
      <c r="J31" s="7">
        <v>38</v>
      </c>
      <c r="K31" s="7">
        <v>83</v>
      </c>
      <c r="L31" s="7">
        <v>335</v>
      </c>
      <c r="M31" s="7">
        <v>386</v>
      </c>
      <c r="N31" s="7">
        <v>436</v>
      </c>
      <c r="O31" s="7">
        <v>144</v>
      </c>
      <c r="P31" s="7">
        <v>930</v>
      </c>
      <c r="Q31" s="7">
        <v>8</v>
      </c>
      <c r="R31" s="7">
        <v>388</v>
      </c>
      <c r="S31" s="7">
        <v>158</v>
      </c>
      <c r="T31" s="7">
        <v>318</v>
      </c>
      <c r="U31" s="7">
        <v>87</v>
      </c>
      <c r="V31" s="7">
        <v>163</v>
      </c>
      <c r="W31" s="7">
        <v>530</v>
      </c>
      <c r="X31" s="7">
        <v>4442</v>
      </c>
      <c r="Y31" s="7">
        <v>846</v>
      </c>
      <c r="Z31" s="7">
        <v>108</v>
      </c>
      <c r="AA31" s="7">
        <v>4714</v>
      </c>
      <c r="AB31" s="7">
        <v>14890</v>
      </c>
      <c r="AC31" s="7">
        <v>661</v>
      </c>
      <c r="AD31" s="7">
        <v>48</v>
      </c>
      <c r="AE31" s="7">
        <v>24452</v>
      </c>
      <c r="AF31" s="7">
        <v>132</v>
      </c>
      <c r="AG31" s="7">
        <v>59</v>
      </c>
      <c r="AH31" s="7">
        <v>129</v>
      </c>
      <c r="AI31" s="7">
        <v>356</v>
      </c>
    </row>
    <row r="32" spans="1:35" x14ac:dyDescent="0.35">
      <c r="A32" s="8" t="s">
        <v>522</v>
      </c>
      <c r="B32" s="7">
        <v>102</v>
      </c>
      <c r="C32" s="7">
        <v>550</v>
      </c>
      <c r="D32" s="7">
        <v>64</v>
      </c>
      <c r="E32" s="7">
        <v>249</v>
      </c>
      <c r="F32" s="7">
        <v>15</v>
      </c>
      <c r="G32" s="7">
        <v>21</v>
      </c>
      <c r="H32" s="7"/>
      <c r="I32" s="7">
        <v>154</v>
      </c>
      <c r="J32" s="7"/>
      <c r="K32" s="7">
        <v>64</v>
      </c>
      <c r="L32" s="7">
        <v>1417</v>
      </c>
      <c r="M32" s="7">
        <v>1733</v>
      </c>
      <c r="N32" s="7">
        <v>867</v>
      </c>
      <c r="O32" s="7">
        <v>586</v>
      </c>
      <c r="P32" s="7">
        <v>2502</v>
      </c>
      <c r="Q32" s="7">
        <v>286</v>
      </c>
      <c r="R32" s="7">
        <v>181</v>
      </c>
      <c r="S32" s="7">
        <v>45</v>
      </c>
      <c r="T32" s="7">
        <v>733</v>
      </c>
      <c r="U32" s="7">
        <v>46</v>
      </c>
      <c r="V32" s="7">
        <v>20</v>
      </c>
      <c r="W32" s="7">
        <v>203</v>
      </c>
      <c r="X32" s="7">
        <v>139</v>
      </c>
      <c r="Y32" s="7">
        <v>97</v>
      </c>
      <c r="Z32" s="7">
        <v>841</v>
      </c>
      <c r="AA32" s="7">
        <v>274</v>
      </c>
      <c r="AB32" s="7">
        <v>2601</v>
      </c>
      <c r="AC32" s="7">
        <v>2879</v>
      </c>
      <c r="AD32" s="7">
        <v>77</v>
      </c>
      <c r="AE32" s="7">
        <v>109</v>
      </c>
      <c r="AF32" s="7">
        <v>41273</v>
      </c>
      <c r="AG32" s="7">
        <v>1996</v>
      </c>
      <c r="AH32" s="7">
        <v>3222</v>
      </c>
      <c r="AI32" s="7">
        <v>4698</v>
      </c>
    </row>
    <row r="33" spans="1:35" x14ac:dyDescent="0.35">
      <c r="A33" s="8" t="s">
        <v>534</v>
      </c>
      <c r="B33" s="7">
        <v>46</v>
      </c>
      <c r="C33" s="7">
        <v>87</v>
      </c>
      <c r="D33" s="7">
        <v>135</v>
      </c>
      <c r="E33" s="7">
        <v>9</v>
      </c>
      <c r="F33" s="7">
        <v>15</v>
      </c>
      <c r="G33" s="7">
        <v>57</v>
      </c>
      <c r="H33" s="7">
        <v>63</v>
      </c>
      <c r="I33" s="7"/>
      <c r="J33" s="7">
        <v>15</v>
      </c>
      <c r="K33" s="7">
        <v>92</v>
      </c>
      <c r="L33" s="7">
        <v>480</v>
      </c>
      <c r="M33" s="7">
        <v>490</v>
      </c>
      <c r="N33" s="7">
        <v>696</v>
      </c>
      <c r="O33" s="7">
        <v>346</v>
      </c>
      <c r="P33" s="7">
        <v>1084</v>
      </c>
      <c r="Q33" s="7">
        <v>51</v>
      </c>
      <c r="R33" s="7">
        <v>62</v>
      </c>
      <c r="S33" s="7">
        <v>73</v>
      </c>
      <c r="T33" s="7">
        <v>73</v>
      </c>
      <c r="U33" s="7">
        <v>52</v>
      </c>
      <c r="V33" s="7">
        <v>37</v>
      </c>
      <c r="W33" s="7">
        <v>31</v>
      </c>
      <c r="X33" s="7">
        <v>42</v>
      </c>
      <c r="Y33" s="7"/>
      <c r="Z33" s="7">
        <v>2081</v>
      </c>
      <c r="AA33" s="7">
        <v>676</v>
      </c>
      <c r="AB33" s="7">
        <v>2514</v>
      </c>
      <c r="AC33" s="7">
        <v>2217</v>
      </c>
      <c r="AD33" s="7">
        <v>332</v>
      </c>
      <c r="AE33" s="7">
        <v>46</v>
      </c>
      <c r="AF33" s="7">
        <v>1502</v>
      </c>
      <c r="AG33" s="7">
        <v>20834</v>
      </c>
      <c r="AH33" s="7">
        <v>922</v>
      </c>
      <c r="AI33" s="7">
        <v>808</v>
      </c>
    </row>
    <row r="34" spans="1:35" x14ac:dyDescent="0.35">
      <c r="A34" s="8" t="s">
        <v>545</v>
      </c>
      <c r="B34" s="7">
        <v>32</v>
      </c>
      <c r="C34" s="7">
        <v>583</v>
      </c>
      <c r="D34" s="7">
        <v>108</v>
      </c>
      <c r="E34" s="7">
        <v>67</v>
      </c>
      <c r="F34" s="7">
        <v>4</v>
      </c>
      <c r="G34" s="7">
        <v>305</v>
      </c>
      <c r="H34" s="7">
        <v>20</v>
      </c>
      <c r="I34" s="7">
        <v>126</v>
      </c>
      <c r="J34" s="7"/>
      <c r="K34" s="7">
        <v>48</v>
      </c>
      <c r="L34" s="7">
        <v>969</v>
      </c>
      <c r="M34" s="7">
        <v>1086</v>
      </c>
      <c r="N34" s="7">
        <v>1146</v>
      </c>
      <c r="O34" s="7">
        <v>543</v>
      </c>
      <c r="P34" s="7">
        <v>3511</v>
      </c>
      <c r="Q34" s="7">
        <v>210</v>
      </c>
      <c r="R34" s="7">
        <v>202</v>
      </c>
      <c r="S34" s="7">
        <v>164</v>
      </c>
      <c r="T34" s="7">
        <v>2030</v>
      </c>
      <c r="U34" s="7">
        <v>135</v>
      </c>
      <c r="V34" s="7">
        <v>6</v>
      </c>
      <c r="W34" s="7">
        <v>30</v>
      </c>
      <c r="X34" s="7">
        <v>213</v>
      </c>
      <c r="Y34" s="7">
        <v>29</v>
      </c>
      <c r="Z34" s="7">
        <v>1655</v>
      </c>
      <c r="AA34" s="7">
        <v>484</v>
      </c>
      <c r="AB34" s="7">
        <v>6494</v>
      </c>
      <c r="AC34" s="7">
        <v>2754</v>
      </c>
      <c r="AD34" s="7">
        <v>63</v>
      </c>
      <c r="AE34" s="7">
        <v>183</v>
      </c>
      <c r="AF34" s="7">
        <v>5010</v>
      </c>
      <c r="AG34" s="7">
        <v>1022</v>
      </c>
      <c r="AH34" s="7">
        <v>18082</v>
      </c>
      <c r="AI34" s="7">
        <v>5998</v>
      </c>
    </row>
    <row r="35" spans="1:35" x14ac:dyDescent="0.35">
      <c r="A35" s="8" t="s">
        <v>560</v>
      </c>
      <c r="B35" s="7">
        <v>153</v>
      </c>
      <c r="C35" s="7">
        <v>1289</v>
      </c>
      <c r="D35" s="7">
        <v>163</v>
      </c>
      <c r="E35" s="7">
        <v>141</v>
      </c>
      <c r="F35" s="7">
        <v>69</v>
      </c>
      <c r="G35" s="7">
        <v>79</v>
      </c>
      <c r="H35" s="7">
        <v>30</v>
      </c>
      <c r="I35" s="7">
        <v>334</v>
      </c>
      <c r="J35" s="7"/>
      <c r="K35" s="7">
        <v>161</v>
      </c>
      <c r="L35" s="7">
        <v>1095</v>
      </c>
      <c r="M35" s="7">
        <v>1124</v>
      </c>
      <c r="N35" s="7">
        <v>2548</v>
      </c>
      <c r="O35" s="7">
        <v>522</v>
      </c>
      <c r="P35" s="7">
        <v>4626</v>
      </c>
      <c r="Q35" s="7">
        <v>372</v>
      </c>
      <c r="R35" s="7">
        <v>185</v>
      </c>
      <c r="S35" s="7">
        <v>604</v>
      </c>
      <c r="T35" s="7">
        <v>3950</v>
      </c>
      <c r="U35" s="7">
        <v>173</v>
      </c>
      <c r="V35" s="7">
        <v>11</v>
      </c>
      <c r="W35" s="7">
        <v>77</v>
      </c>
      <c r="X35" s="7">
        <v>106</v>
      </c>
      <c r="Y35" s="7">
        <v>40</v>
      </c>
      <c r="Z35" s="7">
        <v>1195</v>
      </c>
      <c r="AA35" s="7">
        <v>286</v>
      </c>
      <c r="AB35" s="7">
        <v>10497</v>
      </c>
      <c r="AC35" s="7">
        <v>2348</v>
      </c>
      <c r="AD35" s="7">
        <v>81</v>
      </c>
      <c r="AE35" s="7">
        <v>176</v>
      </c>
      <c r="AF35" s="7">
        <v>3636</v>
      </c>
      <c r="AG35" s="7">
        <v>326</v>
      </c>
      <c r="AH35" s="7">
        <v>2386</v>
      </c>
      <c r="AI35" s="7">
        <v>24782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Hirarki 1</vt:lpstr>
      <vt:lpstr>Hirarki 2</vt:lpstr>
      <vt:lpstr>Geografis</vt:lpstr>
      <vt:lpstr>Multivariate</vt:lpstr>
      <vt:lpstr>Flow 1</vt:lpstr>
      <vt:lpstr>Flow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Ridho Purwanto</dc:creator>
  <cp:lastModifiedBy>Muhammad Ridho Purwanto</cp:lastModifiedBy>
  <dcterms:created xsi:type="dcterms:W3CDTF">2026-10-02T07:38:41Z</dcterms:created>
  <dcterms:modified xsi:type="dcterms:W3CDTF">2026-10-03T15:23:50Z</dcterms:modified>
</cp:coreProperties>
</file>